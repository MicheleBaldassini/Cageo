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eff. G1.1" sheetId="2" r:id="rId5"/>
    <sheet state="visible" name="eff. G1.2" sheetId="3" r:id="rId6"/>
    <sheet state="visible" name="eff. G1.3" sheetId="4" r:id="rId7"/>
    <sheet state="visible" name="eff. G1.4" sheetId="5" r:id="rId8"/>
    <sheet state="visible" name="eff. G1.5" sheetId="6" r:id="rId9"/>
    <sheet state="visible" name="appl. G1" sheetId="7" r:id="rId10"/>
    <sheet state="visible" name="eff. G2.1" sheetId="8" r:id="rId11"/>
    <sheet state="visible" name="eff. G2.2" sheetId="9" r:id="rId12"/>
    <sheet state="visible" name="eff. G2.3" sheetId="10" r:id="rId13"/>
    <sheet state="visible" name="eff. G2.4" sheetId="11" r:id="rId14"/>
    <sheet state="visible" name="appl. G2" sheetId="12" r:id="rId15"/>
    <sheet state="visible" name="eff. G3A.1" sheetId="13" r:id="rId16"/>
    <sheet state="visible" name="eff. G3A.2" sheetId="14" r:id="rId17"/>
    <sheet state="visible" name="eff. G3A.3" sheetId="15" r:id="rId18"/>
    <sheet state="visible" name="eff. G3A.4" sheetId="16" r:id="rId19"/>
    <sheet state="visible" name="eff. G3A.5" sheetId="17" r:id="rId20"/>
    <sheet state="visible" name="appl. G3A" sheetId="18" r:id="rId21"/>
    <sheet state="visible" name="eff. G3B.1a" sheetId="19" r:id="rId22"/>
    <sheet state="visible" name="eff. G3B.1b" sheetId="20" r:id="rId23"/>
    <sheet state="visible" name="eff. G3B.2" sheetId="21" r:id="rId24"/>
    <sheet state="visible" name="eff. G3B.3" sheetId="22" r:id="rId25"/>
    <sheet state="visible" name="eff. G3B.4" sheetId="23" r:id="rId26"/>
    <sheet state="visible" name="appl. G3B" sheetId="24" r:id="rId27"/>
    <sheet state="visible" name="eff. G4.1" sheetId="25" r:id="rId28"/>
    <sheet state="visible" name="eff. G4.2" sheetId="26" r:id="rId29"/>
    <sheet state="visible" name="eff. G4.3" sheetId="27" r:id="rId30"/>
    <sheet state="visible" name="eff. G4.4" sheetId="28" r:id="rId31"/>
    <sheet state="visible" name="appl. G4" sheetId="29" r:id="rId32"/>
    <sheet state="visible" name="eff. G5.1" sheetId="30" r:id="rId33"/>
    <sheet state="visible" name="eff. G5.2" sheetId="31" r:id="rId34"/>
    <sheet state="visible" name="eff. G5.3" sheetId="32" r:id="rId35"/>
    <sheet state="visible" name="eff. G5.4" sheetId="33" r:id="rId36"/>
    <sheet state="visible" name="appl. G5" sheetId="34" r:id="rId37"/>
  </sheets>
  <definedNames/>
  <calcPr/>
  <extLst>
    <ext uri="GoogleSheetsCustomDataVersion2">
      <go:sheetsCustomData xmlns:go="http://customooxmlschemas.google.com/" r:id="rId38" roundtripDataChecksum="1FZaRPB+k3dpr0sm9u3zNCCPxyar3qM3vmdE2ckDMe4="/>
    </ext>
  </extLst>
</workbook>
</file>

<file path=xl/sharedStrings.xml><?xml version="1.0" encoding="utf-8"?>
<sst xmlns="http://schemas.openxmlformats.org/spreadsheetml/2006/main" count="399" uniqueCount="115">
  <si>
    <t xml:space="preserve">This file presents the slope stabilization measures considered in this study, grouped into five categories according to their dominant physical mechanism and engineering function: </t>
  </si>
  <si>
    <t>G1.2 TURFING</t>
  </si>
  <si>
    <r>
      <rPr>
        <rFont val="Calibri"/>
        <color theme="1"/>
        <sz val="12.0"/>
      </rPr>
      <t>-</t>
    </r>
    <r>
      <rPr>
        <rFont val="Calibri"/>
        <color theme="1"/>
        <sz val="7.0"/>
      </rPr>
      <t xml:space="preserve">          </t>
    </r>
    <r>
      <rPr>
        <rFont val="Calibri"/>
        <color theme="1"/>
        <sz val="12.0"/>
      </rPr>
      <t xml:space="preserve">surface erosion control (Group 1), </t>
    </r>
  </si>
  <si>
    <t xml:space="preserve">G1.3 TREE BUSHES DIRECT/PIT PLANTING </t>
  </si>
  <si>
    <r>
      <rPr>
        <rFont val="Calibri"/>
        <color theme="1"/>
        <sz val="12.0"/>
      </rPr>
      <t>-</t>
    </r>
    <r>
      <rPr>
        <rFont val="Calibri"/>
        <color theme="1"/>
        <sz val="7.0"/>
      </rPr>
      <t xml:space="preserve">          </t>
    </r>
    <r>
      <rPr>
        <rFont val="Calibri"/>
        <color theme="1"/>
        <sz val="12.0"/>
      </rPr>
      <t>modification of slope geometry and mass distribution (Group 2),</t>
    </r>
  </si>
  <si>
    <r>
      <rPr>
        <rFont val="Calibri"/>
        <color theme="1"/>
        <sz val="12.0"/>
      </rPr>
      <t>-</t>
    </r>
    <r>
      <rPr>
        <rFont val="Calibri"/>
        <color theme="1"/>
        <sz val="7.0"/>
      </rPr>
      <t xml:space="preserve">          </t>
    </r>
    <r>
      <rPr>
        <rFont val="Calibri"/>
        <color theme="1"/>
        <sz val="12.0"/>
      </rPr>
      <t>groundwater regulation through drainage systems (Group 3A and 3B),</t>
    </r>
  </si>
  <si>
    <t>G1.1 HYDROSEEDING</t>
  </si>
  <si>
    <r>
      <rPr>
        <rFont val="Calibri"/>
        <color theme="1"/>
        <sz val="12.0"/>
      </rPr>
      <t>-</t>
    </r>
    <r>
      <rPr>
        <rFont val="Calibri"/>
        <color theme="1"/>
        <sz val="7.0"/>
      </rPr>
      <t xml:space="preserve">          </t>
    </r>
    <r>
      <rPr>
        <rFont val="Calibri"/>
        <color theme="1"/>
        <sz val="12.0"/>
      </rPr>
      <t xml:space="preserve">load transfer systems to competent substrata (Group 4), </t>
    </r>
  </si>
  <si>
    <t>Depth of piezometric level</t>
  </si>
  <si>
    <r>
      <rPr>
        <rFont val="Calibri"/>
        <color theme="1"/>
        <sz val="12.0"/>
      </rPr>
      <t>-</t>
    </r>
    <r>
      <rPr>
        <rFont val="Calibri"/>
        <color theme="1"/>
        <sz val="7.0"/>
      </rPr>
      <t xml:space="preserve">          </t>
    </r>
    <r>
      <rPr>
        <rFont val="Calibri"/>
        <color theme="1"/>
        <sz val="12.0"/>
      </rPr>
      <t xml:space="preserve">retaining structures (Group 5). </t>
    </r>
  </si>
  <si>
    <t xml:space="preserve">The measures are not described here, as the focus is on their role within the proposed selection framework. </t>
  </si>
  <si>
    <t>High (&lt;3 m)</t>
  </si>
  <si>
    <t>Low (3-12 m)</t>
  </si>
  <si>
    <t>Absent (&gt;12 m)</t>
  </si>
  <si>
    <t>Their qualitative effectiveness is reported with respect to the main controlling factors, namely the depth of the potential failure surface and groundwater conditions, in support of the effectiveness and applicability matrices introduced in the main text.</t>
  </si>
  <si>
    <t>EFFECTIVENESS</t>
  </si>
  <si>
    <t>Depth of sliding surface</t>
  </si>
  <si>
    <t>Effectiveness rating based on two descriptors:</t>
  </si>
  <si>
    <t>Superficial (&lt;1.0 m)</t>
  </si>
  <si>
    <t xml:space="preserve">a) depth of the sliding surface </t>
  </si>
  <si>
    <t>b) depth of the piezometric level</t>
  </si>
  <si>
    <t>(adapted from https://www.larimit.com/mitigation_measures/)</t>
  </si>
  <si>
    <t>Shallow (1 to 3 m)</t>
  </si>
  <si>
    <t>For each descriptor the following scores are assigned:</t>
  </si>
  <si>
    <t>Medium (3 to 8 m)</t>
  </si>
  <si>
    <t>0 = ineffective measure</t>
  </si>
  <si>
    <t>Deep (8 to 15 m)</t>
  </si>
  <si>
    <t>0,5 = moderately effective measure</t>
  </si>
  <si>
    <t>Very deep (&gt;15m)</t>
  </si>
  <si>
    <t>1 = high effective measure</t>
  </si>
  <si>
    <t>Effectiveness scores for each measure were obtained by combining the rating associated to the two descriptors a) and b) (see the following sheets)</t>
  </si>
  <si>
    <t>Effectiveness scores</t>
  </si>
  <si>
    <t>High effective</t>
  </si>
  <si>
    <t>Quite effective</t>
  </si>
  <si>
    <t>Moderately effective</t>
  </si>
  <si>
    <t>Ineffective</t>
  </si>
  <si>
    <t>APPLICABILITY</t>
  </si>
  <si>
    <r>
      <rPr>
        <rFont val="Calibri"/>
        <b/>
        <color rgb="FF0070C0"/>
        <sz val="11.0"/>
      </rPr>
      <t xml:space="preserve">Applicability </t>
    </r>
    <r>
      <rPr>
        <rFont val="Calibri"/>
        <color rgb="FF0070C0"/>
        <sz val="11.0"/>
      </rPr>
      <t>rating based on four descriptors:</t>
    </r>
  </si>
  <si>
    <t>c) reliability</t>
  </si>
  <si>
    <t>d) feasibility</t>
  </si>
  <si>
    <t>e) implementation</t>
  </si>
  <si>
    <t>f) typical cost</t>
  </si>
  <si>
    <t>0 = not recommended measure</t>
  </si>
  <si>
    <t>0,5 = suggested measure</t>
  </si>
  <si>
    <t>1 = highly recommended measure</t>
  </si>
  <si>
    <t>Applicability scores for each measure were obtained by combining the rating associated to the four descriptors c), d), e), and f) (see the following sheets)</t>
  </si>
  <si>
    <t>Applicability scores</t>
  </si>
  <si>
    <t>3&lt;score&lt;=4</t>
  </si>
  <si>
    <t>High recommended</t>
  </si>
  <si>
    <t>2&lt;score&lt;=3</t>
  </si>
  <si>
    <t>Suggested</t>
  </si>
  <si>
    <t>1&lt;score&lt;=2</t>
  </si>
  <si>
    <t>Poorly suitable</t>
  </si>
  <si>
    <t>score&lt;=1</t>
  </si>
  <si>
    <t>Not recommended</t>
  </si>
  <si>
    <t>G1.4 LIVE/INERT FASCINES AND STRAW WATTLES</t>
  </si>
  <si>
    <t>TABELLA BASATA SU EFFICACIA INTERVENTO</t>
  </si>
  <si>
    <t>G1.5 BRUSH MATTRESSES</t>
  </si>
  <si>
    <t>G1.1</t>
  </si>
  <si>
    <t>G1.2</t>
  </si>
  <si>
    <t>G1.3</t>
  </si>
  <si>
    <t>G1.4</t>
  </si>
  <si>
    <t>G1.5</t>
  </si>
  <si>
    <t>Reliability</t>
  </si>
  <si>
    <t>Feasibility</t>
  </si>
  <si>
    <t xml:space="preserve">Implementation </t>
  </si>
  <si>
    <t>Typical cost</t>
  </si>
  <si>
    <t>tot.</t>
  </si>
  <si>
    <t>G2.1 COMPLETELY OR PARTIALLY REMOVE UNSTABLE MATERIALS</t>
  </si>
  <si>
    <t>G2.2 REMOVAL OF MATERIAL FROM DRIVING AREA</t>
  </si>
  <si>
    <t>G2.3 SUBSTITUTION OF MATERIAL IN DRIVING AREA WITH LIGHTWEIGHT FILL</t>
  </si>
  <si>
    <t>G2.4 ADDITION OF MATERIAL TO THE AREA MAINTAINING STABILITY</t>
  </si>
  <si>
    <t>G2.1</t>
  </si>
  <si>
    <t>G2.2</t>
  </si>
  <si>
    <t>G2.3</t>
  </si>
  <si>
    <t>G2.4</t>
  </si>
  <si>
    <t>G3A.1 SURFACE DRAINAGE WORKS</t>
  </si>
  <si>
    <t xml:space="preserve">G3A.2 LOCAL REGRADING TO FACILITATE RUN-OFF </t>
  </si>
  <si>
    <t>G3A.3 SEALING TENSION CRACKS</t>
  </si>
  <si>
    <t>G3A.4 IMPERMEABILIZATION</t>
  </si>
  <si>
    <t>G3A.5 VEGETATION</t>
  </si>
  <si>
    <t>G3A.1</t>
  </si>
  <si>
    <t>G3A.2</t>
  </si>
  <si>
    <t>G3A.3</t>
  </si>
  <si>
    <t>G3A.4</t>
  </si>
  <si>
    <t>G3A.5</t>
  </si>
  <si>
    <t>G3B.1a SHALLOW TRENCHES</t>
  </si>
  <si>
    <t>G3B.1b DEEP TRENCHES</t>
  </si>
  <si>
    <t xml:space="preserve">G3B.2 SUB-HORIZONTAL DRAINS </t>
  </si>
  <si>
    <t xml:space="preserve">G3B.3 SMALL DIAMETER VERTICAL WELLS </t>
  </si>
  <si>
    <t xml:space="preserve">G3B.4 DRAINAGE TUNNELS, ADITS, GALLERIES </t>
  </si>
  <si>
    <t>G3B.1a</t>
  </si>
  <si>
    <t>G3B.1b</t>
  </si>
  <si>
    <t>G3B.2</t>
  </si>
  <si>
    <t>G3B.3</t>
  </si>
  <si>
    <t>G3B.4</t>
  </si>
  <si>
    <t>G4.1 PILES</t>
  </si>
  <si>
    <t>G4.2 DIAPHRAGM WALLS</t>
  </si>
  <si>
    <t>High  (&lt; 3 m)</t>
  </si>
  <si>
    <t>Low (3 - 12 m)</t>
  </si>
  <si>
    <t>Absent ( &gt; 12 m)</t>
  </si>
  <si>
    <t>G4.3 SOIL NAILING</t>
  </si>
  <si>
    <t xml:space="preserve">G4.4 STRAND ANCHORS </t>
  </si>
  <si>
    <t>G4.1</t>
  </si>
  <si>
    <t>G4.2</t>
  </si>
  <si>
    <t>G4.3</t>
  </si>
  <si>
    <t>G4.4</t>
  </si>
  <si>
    <t xml:space="preserve">G5.1 REINFORCED SOIL STRUCTURES </t>
  </si>
  <si>
    <t>G5.2 GABION WALLS</t>
  </si>
  <si>
    <t>G5.3 CRIBB WALLS</t>
  </si>
  <si>
    <t>G5.4 REINFORCED CONCRETE STEM WALLS</t>
  </si>
  <si>
    <t>G5.1</t>
  </si>
  <si>
    <t>G5.2</t>
  </si>
  <si>
    <t>G5.3</t>
  </si>
  <si>
    <t>G5.4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</si>
</sst>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sz val="11.0"/>
      <color theme="1"/>
      <name val="Calibri"/>
    </font>
    <font>
      <b/>
      <sz val="11.0"/>
      <color theme="1"/>
      <name val="Calibri"/>
    </font>
    <font>
      <sz val="12.0"/>
      <color theme="1"/>
      <name val="Calibri"/>
    </font>
    <font/>
    <font>
      <b/>
      <sz val="12.0"/>
      <color rgb="FFFF0000"/>
      <name val="Calibri"/>
    </font>
    <font>
      <sz val="11.0"/>
      <color rgb="FFFF0000"/>
      <name val="Calibri"/>
    </font>
    <font>
      <b/>
      <sz val="11.0"/>
      <color rgb="FFFF0000"/>
      <name val="Calibri"/>
    </font>
    <font>
      <b/>
      <sz val="12.0"/>
      <color rgb="FF0070C0"/>
      <name val="Calibri"/>
    </font>
    <font>
      <sz val="11.0"/>
      <color rgb="FF0070C0"/>
      <name val="Calibri"/>
    </font>
    <font>
      <b/>
      <sz val="10.0"/>
      <color rgb="FF0070C0"/>
      <name val="Calibri"/>
    </font>
    <font>
      <b/>
      <sz val="11.0"/>
      <color rgb="FF0070C0"/>
      <name val="Calibri"/>
    </font>
  </fonts>
  <fills count="6">
    <fill>
      <patternFill patternType="none"/>
    </fill>
    <fill>
      <patternFill patternType="lightGray"/>
    </fill>
    <fill>
      <patternFill patternType="solid">
        <fgColor rgb="FFECECEC"/>
        <bgColor rgb="FFECECEC"/>
      </patternFill>
    </fill>
    <fill>
      <patternFill patternType="solid">
        <fgColor rgb="FFFFC000"/>
        <bgColor rgb="FFFFC000"/>
      </patternFill>
    </fill>
    <fill>
      <patternFill patternType="solid">
        <fgColor rgb="FF00B050"/>
        <bgColor rgb="FF00B050"/>
      </patternFill>
    </fill>
    <fill>
      <patternFill patternType="solid">
        <fgColor rgb="FFFFFF00"/>
        <bgColor rgb="FFFFFF00"/>
      </patternFill>
    </fill>
  </fills>
  <borders count="66">
    <border/>
    <border>
      <left style="medium">
        <color rgb="FF000000"/>
      </left>
    </border>
    <border>
      <left style="medium">
        <color rgb="FF000000"/>
      </left>
      <top style="medium">
        <color rgb="FF000000"/>
      </top>
    </border>
    <border>
      <top style="medium">
        <color rgb="FF000000"/>
      </top>
    </border>
    <border>
      <right style="medium">
        <color rgb="FF000000"/>
      </right>
      <top style="medium">
        <color rgb="FF000000"/>
      </top>
    </border>
    <border>
      <left/>
      <top style="medium">
        <color rgb="FF000000"/>
      </top>
      <bottom/>
    </border>
    <border>
      <top style="medium">
        <color rgb="FF000000"/>
      </top>
      <bottom/>
    </border>
    <border>
      <right style="medium">
        <color rgb="FF000000"/>
      </right>
      <top style="medium">
        <color rgb="FF000000"/>
      </top>
      <bottom/>
    </border>
    <border>
      <right style="medium">
        <color rgb="FF000000"/>
      </right>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thin">
        <color rgb="FF000000"/>
      </right>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bottom style="thin">
        <color rgb="FF000000"/>
      </bottom>
    </border>
    <border>
      <left style="thin">
        <color rgb="FF000000"/>
      </left>
      <right style="medium">
        <color rgb="FF000000"/>
      </right>
      <bottom style="thin">
        <color rgb="FF000000"/>
      </bottom>
    </border>
    <border>
      <right style="thin">
        <color rgb="FF000000"/>
      </right>
    </border>
    <border>
      <left style="thin">
        <color rgb="FF000000"/>
      </left>
      <right style="medium">
        <color rgb="FF000000"/>
      </right>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thin">
        <color rgb="FF000000"/>
      </right>
      <bottom style="thin">
        <color rgb="FF000000"/>
      </bottom>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bottom style="medium">
        <color rgb="FF000000"/>
      </bottom>
    </border>
    <border>
      <left style="thin">
        <color rgb="FF000000"/>
      </left>
      <right style="medium">
        <color rgb="FF000000"/>
      </right>
      <top style="thin">
        <color rgb="FF000000"/>
      </top>
      <bottom style="medium">
        <color rgb="FF000000"/>
      </bottom>
    </border>
    <border>
      <left/>
      <right style="thin">
        <color rgb="FF000000"/>
      </right>
      <top style="thin">
        <color rgb="FF000000"/>
      </top>
      <bottom/>
    </border>
    <border>
      <left/>
      <right style="medium">
        <color rgb="FF000000"/>
      </right>
      <top style="thin">
        <color rgb="FF000000"/>
      </top>
      <bottom/>
    </border>
    <border>
      <left style="thin">
        <color rgb="FF000000"/>
      </left>
      <right/>
      <top style="medium">
        <color rgb="FF000000"/>
      </top>
      <bottom style="thin">
        <color rgb="FF000000"/>
      </bottom>
    </border>
    <border>
      <left style="thin">
        <color rgb="FF000000"/>
      </left>
      <right/>
      <top/>
      <bottom style="thin">
        <color rgb="FF000000"/>
      </bottom>
    </border>
    <border>
      <left style="thin">
        <color rgb="FF000000"/>
      </left>
      <right/>
      <top/>
      <bottom style="medium">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bottom style="thin">
        <color rgb="FF000000"/>
      </bottom>
    </border>
    <border>
      <left style="medium">
        <color rgb="FF000000"/>
      </left>
      <top style="medium">
        <color rgb="FF000000"/>
      </top>
      <bottom/>
    </border>
    <border>
      <left style="medium">
        <color rgb="FF000000"/>
      </left>
      <right style="thin">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right style="medium">
        <color rgb="FF000000"/>
      </right>
      <top style="medium">
        <color rgb="FF000000"/>
      </top>
      <bottom style="thin">
        <color rgb="FF000000"/>
      </bottom>
    </border>
    <border>
      <right style="medium">
        <color rgb="FF000000"/>
      </right>
      <top style="thin">
        <color rgb="FF000000"/>
      </top>
      <bottom style="thin">
        <color rgb="FF000000"/>
      </bottom>
    </border>
    <border>
      <right style="medium">
        <color rgb="FF000000"/>
      </right>
      <top style="thin">
        <color rgb="FF000000"/>
      </top>
      <bottom style="medium">
        <color rgb="FF000000"/>
      </bottom>
    </border>
    <border>
      <top style="medium">
        <color rgb="FF000000"/>
      </top>
      <bottom style="thin">
        <color rgb="FF000000"/>
      </bottom>
    </border>
    <border>
      <left style="medium">
        <color rgb="FF000000"/>
      </left>
      <top/>
    </border>
    <border>
      <right style="thin">
        <color rgb="FF000000"/>
      </right>
      <top/>
    </border>
    <border>
      <left style="thin">
        <color rgb="FF000000"/>
      </left>
      <right/>
      <top style="thin">
        <color rgb="FF000000"/>
      </top>
      <bottom style="thin">
        <color rgb="FF000000"/>
      </bottom>
    </border>
    <border>
      <left/>
      <right/>
      <top/>
      <bottom style="thin">
        <color rgb="FF000000"/>
      </bottom>
    </border>
    <border>
      <left/>
      <right style="thin">
        <color rgb="FF000000"/>
      </right>
      <top/>
      <bottom style="medium">
        <color rgb="FF000000"/>
      </bottom>
    </border>
    <border>
      <left/>
      <right/>
      <top/>
      <bottom style="medium">
        <color rgb="FF000000"/>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xf>
    <xf borderId="0" fillId="0" fontId="2" numFmtId="0" xfId="0" applyAlignment="1" applyFont="1">
      <alignment vertical="center"/>
    </xf>
    <xf borderId="0" fillId="0" fontId="2" numFmtId="0" xfId="0" applyFont="1"/>
    <xf borderId="0" fillId="0" fontId="1" numFmtId="0" xfId="0" applyAlignment="1" applyFont="1">
      <alignment vertical="center"/>
    </xf>
    <xf borderId="0" fillId="0" fontId="3" numFmtId="0" xfId="0" applyAlignment="1" applyFont="1">
      <alignment vertical="center"/>
    </xf>
    <xf borderId="0" fillId="0" fontId="3" numFmtId="0" xfId="0" applyAlignment="1" applyFont="1">
      <alignment horizontal="left" vertical="center"/>
    </xf>
    <xf borderId="2" fillId="0" fontId="1" numFmtId="0" xfId="0" applyAlignment="1" applyBorder="1" applyFont="1">
      <alignment horizontal="center" vertical="center"/>
    </xf>
    <xf borderId="3" fillId="0" fontId="4" numFmtId="0" xfId="0" applyBorder="1" applyFont="1"/>
    <xf borderId="4" fillId="0" fontId="4" numFmtId="0" xfId="0" applyBorder="1" applyFont="1"/>
    <xf borderId="5" fillId="2" fontId="2" numFmtId="0" xfId="0" applyAlignment="1" applyBorder="1" applyFill="1" applyFont="1">
      <alignment horizontal="center" shrinkToFit="0" vertical="center" wrapText="1"/>
    </xf>
    <xf borderId="0" fillId="0" fontId="3" numFmtId="0" xfId="0" applyAlignment="1" applyFont="1">
      <alignment readingOrder="0" vertical="center"/>
    </xf>
    <xf borderId="6" fillId="0" fontId="4" numFmtId="0" xfId="0" applyBorder="1" applyFont="1"/>
    <xf borderId="0" fillId="0" fontId="1" numFmtId="0" xfId="0" applyFont="1"/>
    <xf borderId="7" fillId="0" fontId="4" numFmtId="0" xfId="0" applyBorder="1" applyFont="1"/>
    <xf borderId="1" fillId="0" fontId="4" numFmtId="0" xfId="0" applyBorder="1" applyFont="1"/>
    <xf borderId="8" fillId="0" fontId="4" numFmtId="0" xfId="0" applyBorder="1" applyFont="1"/>
    <xf borderId="9" fillId="2" fontId="1" numFmtId="0" xfId="0" applyAlignment="1" applyBorder="1" applyFill="1" applyFont="1">
      <alignment horizontal="center" shrinkToFit="0" vertical="center" wrapText="1"/>
    </xf>
    <xf borderId="10" fillId="2" fontId="1" numFmtId="0" xfId="0" applyAlignment="1" applyBorder="1" applyFill="1" applyFont="1">
      <alignment horizontal="center" shrinkToFit="0" vertical="center" wrapText="1"/>
    </xf>
    <xf borderId="11" fillId="2" fontId="1" numFmtId="0" xfId="0" applyAlignment="1" applyBorder="1" applyFill="1" applyFont="1">
      <alignment horizontal="center" shrinkToFit="0" vertical="center" wrapText="1"/>
    </xf>
    <xf borderId="12" fillId="0" fontId="4" numFmtId="0" xfId="0" applyBorder="1" applyFont="1"/>
    <xf borderId="13" fillId="0" fontId="4" numFmtId="0" xfId="0" applyBorder="1" applyFont="1"/>
    <xf borderId="14" fillId="0" fontId="4" numFmtId="0" xfId="0" applyBorder="1" applyFont="1"/>
    <xf borderId="0" fillId="0" fontId="5" numFmtId="0" xfId="0" applyFont="1"/>
    <xf borderId="15" fillId="2" fontId="1" numFmtId="0" xfId="0" applyAlignment="1" applyBorder="1" applyFill="1" applyFont="1">
      <alignment horizontal="center"/>
    </xf>
    <xf borderId="16" fillId="2" fontId="1" numFmtId="0" xfId="0" applyAlignment="1" applyBorder="1" applyFill="1" applyFont="1">
      <alignment horizontal="center"/>
    </xf>
    <xf borderId="15" fillId="2" fontId="1" numFmtId="0" xfId="0" applyAlignment="1" applyBorder="1" applyFill="1" applyFont="1">
      <alignment horizontal="center" vertical="center"/>
    </xf>
    <xf borderId="0" fillId="0" fontId="6" numFmtId="0" xfId="0" applyFont="1"/>
    <xf borderId="2" fillId="2" fontId="2" numFmtId="0" xfId="0" applyAlignment="1" applyBorder="1" applyFill="1" applyFont="1">
      <alignment horizontal="center" shrinkToFit="0" vertical="center" wrapText="1"/>
    </xf>
    <xf borderId="16" fillId="2" fontId="1" numFmtId="0" xfId="0" applyAlignment="1" applyBorder="1" applyFill="1" applyFont="1">
      <alignment horizontal="center" vertical="center"/>
    </xf>
    <xf borderId="17" fillId="0" fontId="4" numFmtId="0" xfId="0" applyBorder="1" applyFont="1"/>
    <xf borderId="18" fillId="2" fontId="1" numFmtId="0" xfId="0" applyAlignment="1" applyBorder="1" applyFill="1" applyFont="1">
      <alignment horizontal="center" vertical="center"/>
    </xf>
    <xf borderId="19" fillId="2" fontId="1" numFmtId="0" xfId="0" applyAlignment="1" applyBorder="1" applyFill="1" applyFont="1">
      <alignment horizontal="center" vertical="center"/>
    </xf>
    <xf borderId="20" fillId="3" fontId="1" numFmtId="164" xfId="0" applyAlignment="1" applyBorder="1" applyFill="1" applyFont="1" applyNumberFormat="1">
      <alignment horizontal="center"/>
    </xf>
    <xf borderId="21" fillId="4" fontId="1" numFmtId="164" xfId="0" applyAlignment="1" applyBorder="1" applyFill="1" applyFont="1" applyNumberFormat="1">
      <alignment horizontal="center"/>
    </xf>
    <xf borderId="22" fillId="3" fontId="1" numFmtId="0" xfId="0" applyAlignment="1" applyBorder="1" applyFill="1" applyFont="1">
      <alignment horizontal="center"/>
    </xf>
    <xf borderId="20" fillId="3" fontId="1" numFmtId="0" xfId="0" applyAlignment="1" applyBorder="1" applyFill="1" applyFont="1">
      <alignment horizontal="center" vertical="center"/>
    </xf>
    <xf borderId="23" fillId="0" fontId="1" numFmtId="0" xfId="0" applyAlignment="1" applyBorder="1" applyFont="1">
      <alignment horizontal="center"/>
    </xf>
    <xf borderId="18" fillId="3" fontId="1" numFmtId="0" xfId="0" applyAlignment="1" applyBorder="1" applyFill="1" applyFont="1">
      <alignment horizontal="center"/>
    </xf>
    <xf borderId="24" fillId="0" fontId="4" numFmtId="0" xfId="0" applyBorder="1" applyFont="1"/>
    <xf borderId="10" fillId="2" fontId="1" numFmtId="0" xfId="0" applyAlignment="1" applyBorder="1" applyFill="1" applyFont="1">
      <alignment horizontal="center" vertical="center"/>
    </xf>
    <xf borderId="22" fillId="3" fontId="1" numFmtId="0" xfId="0" applyAlignment="1" applyBorder="1" applyFill="1" applyFont="1">
      <alignment horizontal="center" vertical="center"/>
    </xf>
    <xf borderId="25" fillId="2" fontId="1" numFmtId="0" xfId="0" applyAlignment="1" applyBorder="1" applyFill="1" applyFont="1">
      <alignment horizontal="center" vertical="center"/>
    </xf>
    <xf borderId="19" fillId="3" fontId="1" numFmtId="0" xfId="0" applyAlignment="1" applyBorder="1" applyFill="1" applyFont="1">
      <alignment horizontal="center"/>
    </xf>
    <xf borderId="20" fillId="5" fontId="1" numFmtId="0" xfId="0" applyAlignment="1" applyBorder="1" applyFill="1" applyFont="1">
      <alignment horizontal="center"/>
    </xf>
    <xf borderId="25" fillId="3" fontId="1" numFmtId="0" xfId="0" applyAlignment="1" applyBorder="1" applyFill="1" applyFont="1">
      <alignment horizontal="center" vertical="center"/>
    </xf>
    <xf borderId="22" fillId="5" fontId="1" numFmtId="0" xfId="0" applyAlignment="1" applyBorder="1" applyFill="1" applyFont="1">
      <alignment horizontal="center"/>
    </xf>
    <xf borderId="9" fillId="3" fontId="1" numFmtId="0" xfId="0" applyAlignment="1" applyBorder="1" applyFill="1" applyFont="1">
      <alignment horizontal="center"/>
    </xf>
    <xf borderId="26" fillId="0" fontId="1" numFmtId="0" xfId="0" applyAlignment="1" applyBorder="1" applyFont="1">
      <alignment horizontal="center"/>
    </xf>
    <xf borderId="27" fillId="0" fontId="1" numFmtId="0" xfId="0" applyAlignment="1" applyBorder="1" applyFont="1">
      <alignment horizontal="center"/>
    </xf>
    <xf borderId="25" fillId="5" fontId="1" numFmtId="0" xfId="0" applyAlignment="1" applyBorder="1" applyFill="1" applyFont="1">
      <alignment horizontal="center"/>
    </xf>
    <xf borderId="11" fillId="2" fontId="1" numFmtId="0" xfId="0" applyAlignment="1" applyBorder="1" applyFill="1" applyFont="1">
      <alignment horizontal="center" vertical="center"/>
    </xf>
    <xf borderId="20" fillId="5" fontId="1" numFmtId="0" xfId="0" applyAlignment="1" applyBorder="1" applyFill="1" applyFont="1">
      <alignment horizontal="center" vertical="center"/>
    </xf>
    <xf borderId="28" fillId="0" fontId="1" numFmtId="0" xfId="0" applyAlignment="1" applyBorder="1" applyFont="1">
      <alignment horizontal="center"/>
    </xf>
    <xf borderId="29" fillId="0" fontId="4" numFmtId="0" xfId="0" applyBorder="1" applyFont="1"/>
    <xf borderId="22" fillId="5" fontId="1" numFmtId="0" xfId="0" applyAlignment="1" applyBorder="1" applyFill="1" applyFont="1">
      <alignment horizontal="center" vertical="center"/>
    </xf>
    <xf borderId="30" fillId="2" fontId="1" numFmtId="0" xfId="0" applyAlignment="1" applyBorder="1" applyFill="1" applyFont="1">
      <alignment horizontal="center" vertical="center"/>
    </xf>
    <xf borderId="25" fillId="5" fontId="1" numFmtId="0" xfId="0" applyAlignment="1" applyBorder="1" applyFill="1" applyFont="1">
      <alignment horizontal="center" vertical="center"/>
    </xf>
    <xf borderId="31" fillId="2" fontId="1" numFmtId="0" xfId="0" applyAlignment="1" applyBorder="1" applyFill="1" applyFont="1">
      <alignment horizontal="center" vertical="center"/>
    </xf>
    <xf borderId="29" fillId="0" fontId="1" numFmtId="0" xfId="0" applyAlignment="1" applyBorder="1" applyFont="1">
      <alignment horizontal="center"/>
    </xf>
    <xf borderId="32" fillId="0" fontId="1" numFmtId="0" xfId="0" applyAlignment="1" applyBorder="1" applyFont="1">
      <alignment horizontal="center"/>
    </xf>
    <xf borderId="33" fillId="0" fontId="1" numFmtId="0" xfId="0" applyAlignment="1" applyBorder="1" applyFont="1">
      <alignment horizontal="center"/>
    </xf>
    <xf borderId="0" fillId="0" fontId="1" numFmtId="0" xfId="0" applyAlignment="1" applyFont="1">
      <alignment horizontal="center"/>
    </xf>
    <xf borderId="26" fillId="0" fontId="1" numFmtId="0" xfId="0" applyAlignment="1" applyBorder="1" applyFont="1">
      <alignment horizontal="center" vertical="center"/>
    </xf>
    <xf borderId="27" fillId="0" fontId="1" numFmtId="0" xfId="0" applyAlignment="1" applyBorder="1" applyFont="1">
      <alignment horizontal="center" vertical="center"/>
    </xf>
    <xf borderId="23" fillId="0" fontId="1" numFmtId="0" xfId="0" applyAlignment="1" applyBorder="1" applyFont="1">
      <alignment horizontal="center" vertical="center"/>
    </xf>
    <xf borderId="34" fillId="0" fontId="1" numFmtId="0" xfId="0" applyAlignment="1" applyBorder="1" applyFont="1">
      <alignment horizontal="center"/>
    </xf>
    <xf borderId="0" fillId="0" fontId="7" numFmtId="0" xfId="0" applyAlignment="1" applyFont="1">
      <alignment horizontal="left" vertical="center"/>
    </xf>
    <xf borderId="0" fillId="4" fontId="1" numFmtId="1" xfId="0" applyAlignment="1" applyFill="1" applyFont="1" applyNumberFormat="1">
      <alignment horizontal="center" vertical="center"/>
    </xf>
    <xf borderId="35" fillId="2" fontId="1" numFmtId="0" xfId="0" applyAlignment="1" applyBorder="1" applyFill="1" applyFont="1">
      <alignment horizontal="center" vertical="center"/>
    </xf>
    <xf borderId="29" fillId="0" fontId="1" numFmtId="0" xfId="0" applyAlignment="1" applyBorder="1" applyFont="1">
      <alignment horizontal="center" vertical="center"/>
    </xf>
    <xf borderId="32" fillId="0" fontId="1" numFmtId="0" xfId="0" applyAlignment="1" applyBorder="1" applyFont="1">
      <alignment horizontal="center" vertical="center"/>
    </xf>
    <xf borderId="33" fillId="0" fontId="1" numFmtId="0" xfId="0" applyAlignment="1" applyBorder="1" applyFont="1">
      <alignment horizontal="center" vertical="center"/>
    </xf>
    <xf borderId="0" fillId="3" fontId="1" numFmtId="0" xfId="0" applyAlignment="1" applyFill="1" applyFont="1">
      <alignment horizontal="center" vertical="center"/>
    </xf>
    <xf borderId="0" fillId="5" fontId="1" numFmtId="0" xfId="0" applyAlignment="1" applyFill="1" applyFont="1">
      <alignment horizontal="center" vertical="center"/>
    </xf>
    <xf borderId="0" fillId="0" fontId="1" numFmtId="0" xfId="0" applyAlignment="1" applyFont="1">
      <alignment horizontal="center" vertical="center"/>
    </xf>
    <xf borderId="0" fillId="0" fontId="8" numFmtId="0" xfId="0" applyAlignment="1" applyFont="1">
      <alignment horizontal="left" vertical="center"/>
    </xf>
    <xf borderId="0" fillId="0" fontId="9" numFmtId="0" xfId="0" applyFont="1"/>
    <xf borderId="0" fillId="0" fontId="10" numFmtId="0" xfId="0" applyAlignment="1" applyFont="1">
      <alignment horizontal="center" vertical="center"/>
    </xf>
    <xf borderId="0" fillId="0" fontId="11" numFmtId="0" xfId="0" applyAlignment="1" applyFont="1">
      <alignment horizontal="left" vertical="center"/>
    </xf>
    <xf borderId="0" fillId="0" fontId="1" numFmtId="16" xfId="0" applyAlignment="1" applyFont="1" applyNumberFormat="1">
      <alignment horizontal="center"/>
    </xf>
    <xf borderId="0" fillId="3" fontId="1" numFmtId="0" xfId="0" applyAlignment="1" applyFill="1" applyFont="1">
      <alignment horizontal="center"/>
    </xf>
    <xf borderId="0" fillId="5" fontId="1" numFmtId="0" xfId="0" applyAlignment="1" applyFill="1" applyFont="1">
      <alignment horizontal="center"/>
    </xf>
    <xf borderId="21" fillId="3" fontId="1" numFmtId="0" xfId="0" applyAlignment="1" applyBorder="1" applyFill="1" applyFont="1">
      <alignment horizontal="center" vertical="center"/>
    </xf>
    <xf borderId="18" fillId="3" fontId="1" numFmtId="0" xfId="0" applyAlignment="1" applyBorder="1" applyFill="1" applyFont="1">
      <alignment horizontal="center" vertical="center"/>
    </xf>
    <xf borderId="19" fillId="0" fontId="1" numFmtId="0" xfId="0" applyAlignment="1" applyBorder="1" applyFont="1">
      <alignment horizontal="center" vertical="center"/>
    </xf>
    <xf borderId="9" fillId="5" fontId="1" numFmtId="2" xfId="0" applyAlignment="1" applyBorder="1" applyFill="1" applyFont="1" applyNumberFormat="1">
      <alignment horizontal="center" vertical="center"/>
    </xf>
    <xf borderId="28" fillId="0" fontId="1" numFmtId="0" xfId="0" applyAlignment="1" applyBorder="1" applyFont="1">
      <alignment horizontal="center" vertical="center"/>
    </xf>
    <xf borderId="34" fillId="0" fontId="1" numFmtId="0" xfId="0" applyAlignment="1" applyBorder="1" applyFont="1">
      <alignment horizontal="center" vertical="center"/>
    </xf>
    <xf borderId="36" fillId="2" fontId="1" numFmtId="0" xfId="0" applyAlignment="1" applyBorder="1" applyFill="1" applyFont="1">
      <alignment horizontal="center"/>
    </xf>
    <xf borderId="37" fillId="2" fontId="1" numFmtId="0" xfId="0" applyAlignment="1" applyBorder="1" applyFill="1" applyFont="1">
      <alignment horizontal="center"/>
    </xf>
    <xf borderId="38" fillId="2" fontId="1" numFmtId="0" xfId="0" applyAlignment="1" applyBorder="1" applyFill="1" applyFont="1">
      <alignment horizontal="center" vertical="center"/>
    </xf>
    <xf borderId="10" fillId="4" fontId="1" numFmtId="1" xfId="0" applyAlignment="1" applyBorder="1" applyFill="1" applyFont="1" applyNumberFormat="1">
      <alignment horizontal="center"/>
    </xf>
    <xf borderId="10" fillId="3" fontId="1" numFmtId="0" xfId="0" applyAlignment="1" applyBorder="1" applyFill="1" applyFont="1">
      <alignment horizontal="center"/>
    </xf>
    <xf borderId="39" fillId="2" fontId="1" numFmtId="0" xfId="0" applyAlignment="1" applyBorder="1" applyFill="1" applyFont="1">
      <alignment horizontal="center" vertical="center"/>
    </xf>
    <xf borderId="40" fillId="2" fontId="1" numFmtId="0" xfId="0" applyAlignment="1" applyBorder="1" applyFill="1" applyFont="1">
      <alignment horizontal="center" vertical="center"/>
    </xf>
    <xf borderId="41" fillId="0" fontId="1" numFmtId="0" xfId="0" applyAlignment="1" applyBorder="1" applyFont="1">
      <alignment horizontal="center" vertical="center"/>
    </xf>
    <xf borderId="42" fillId="0" fontId="4" numFmtId="0" xfId="0" applyBorder="1" applyFont="1"/>
    <xf borderId="43" fillId="0" fontId="2" numFmtId="0" xfId="0" applyAlignment="1" applyBorder="1" applyFont="1">
      <alignment horizontal="center" vertical="center"/>
    </xf>
    <xf borderId="44" fillId="0" fontId="1" numFmtId="0" xfId="0" applyAlignment="1" applyBorder="1" applyFont="1">
      <alignment horizontal="center" vertical="center"/>
    </xf>
    <xf borderId="45" fillId="0" fontId="4" numFmtId="0" xfId="0" applyBorder="1" applyFont="1"/>
    <xf borderId="46" fillId="0" fontId="1" numFmtId="0" xfId="0" applyAlignment="1" applyBorder="1" applyFont="1">
      <alignment horizontal="center" vertical="center"/>
    </xf>
    <xf borderId="47" fillId="0" fontId="1" numFmtId="0" xfId="0" applyAlignment="1" applyBorder="1" applyFont="1">
      <alignment horizontal="center" vertical="center"/>
    </xf>
    <xf borderId="48" fillId="0" fontId="2" numFmtId="0" xfId="0" applyAlignment="1" applyBorder="1" applyFont="1">
      <alignment horizontal="center" vertical="center"/>
    </xf>
    <xf borderId="49" fillId="0" fontId="4" numFmtId="0" xfId="0" applyBorder="1" applyFont="1"/>
    <xf borderId="50" fillId="4" fontId="2" numFmtId="0" xfId="0" applyAlignment="1" applyBorder="1" applyFill="1" applyFont="1">
      <alignment horizontal="center" vertical="center"/>
    </xf>
    <xf borderId="2" fillId="0" fontId="1" numFmtId="0" xfId="0" applyAlignment="1" applyBorder="1" applyFont="1">
      <alignment horizontal="center" shrinkToFit="0" vertical="center" wrapText="1"/>
    </xf>
    <xf borderId="21" fillId="3" fontId="1" numFmtId="0" xfId="0" applyAlignment="1" applyBorder="1" applyFill="1" applyFont="1">
      <alignment horizontal="center"/>
    </xf>
    <xf borderId="9" fillId="5" fontId="1" numFmtId="0" xfId="0" applyAlignment="1" applyBorder="1" applyFill="1" applyFont="1">
      <alignment horizontal="center"/>
    </xf>
    <xf borderId="51" fillId="5" fontId="1" numFmtId="0" xfId="0" applyAlignment="1" applyBorder="1" applyFill="1" applyFont="1">
      <alignment horizontal="center"/>
    </xf>
    <xf borderId="2" fillId="0" fontId="2" numFmtId="0" xfId="0" applyAlignment="1" applyBorder="1" applyFont="1">
      <alignment horizontal="center" shrinkToFit="0" vertical="center" wrapText="1"/>
    </xf>
    <xf borderId="52" fillId="2" fontId="2" numFmtId="0" xfId="0" applyAlignment="1" applyBorder="1" applyFill="1" applyFont="1">
      <alignment horizontal="center" shrinkToFit="0" vertical="center" wrapText="1"/>
    </xf>
    <xf borderId="53" fillId="2" fontId="1" numFmtId="0" xfId="0" applyAlignment="1" applyBorder="1" applyFill="1" applyFont="1">
      <alignment horizontal="center"/>
    </xf>
    <xf borderId="21" fillId="5" fontId="2" numFmtId="0" xfId="0" applyAlignment="1" applyBorder="1" applyFill="1" applyFont="1">
      <alignment horizontal="center"/>
    </xf>
    <xf borderId="18" fillId="3" fontId="2" numFmtId="0" xfId="0" applyAlignment="1" applyBorder="1" applyFill="1" applyFont="1">
      <alignment horizontal="center"/>
    </xf>
    <xf borderId="19" fillId="3" fontId="2" numFmtId="0" xfId="0" applyAlignment="1" applyBorder="1" applyFill="1" applyFont="1">
      <alignment horizontal="center"/>
    </xf>
    <xf borderId="9" fillId="5" fontId="2" numFmtId="0" xfId="0" applyAlignment="1" applyBorder="1" applyFill="1" applyFont="1">
      <alignment horizontal="center"/>
    </xf>
    <xf borderId="22" fillId="3" fontId="2" numFmtId="0" xfId="0" applyAlignment="1" applyBorder="1" applyFill="1" applyFont="1">
      <alignment horizontal="center"/>
    </xf>
    <xf borderId="25" fillId="3" fontId="2" numFmtId="0" xfId="0" applyAlignment="1" applyBorder="1" applyFill="1" applyFont="1">
      <alignment horizontal="center"/>
    </xf>
    <xf borderId="51" fillId="3" fontId="2" numFmtId="0" xfId="0" applyAlignment="1" applyBorder="1" applyFill="1" applyFont="1">
      <alignment horizontal="center"/>
    </xf>
    <xf borderId="22" fillId="4" fontId="2" numFmtId="0" xfId="0" applyAlignment="1" applyBorder="1" applyFill="1" applyFont="1">
      <alignment horizontal="center"/>
    </xf>
    <xf borderId="25" fillId="4" fontId="2" numFmtId="0" xfId="0" applyAlignment="1" applyBorder="1" applyFill="1" applyFont="1">
      <alignment horizontal="center"/>
    </xf>
    <xf borderId="51" fillId="5" fontId="2" numFmtId="0" xfId="0" applyAlignment="1" applyBorder="1" applyFill="1" applyFont="1">
      <alignment horizontal="center"/>
    </xf>
    <xf borderId="54" fillId="5" fontId="2" numFmtId="0" xfId="0" applyAlignment="1" applyBorder="1" applyFill="1" applyFont="1">
      <alignment horizontal="center"/>
    </xf>
    <xf borderId="55" fillId="3" fontId="2" numFmtId="0" xfId="0" applyAlignment="1" applyBorder="1" applyFill="1" applyFont="1">
      <alignment horizontal="center"/>
    </xf>
    <xf borderId="31" fillId="3" fontId="2" numFmtId="0" xfId="0" applyAlignment="1" applyBorder="1" applyFill="1" applyFont="1">
      <alignment horizontal="center"/>
    </xf>
    <xf borderId="21" fillId="3" fontId="2" numFmtId="0" xfId="0" applyAlignment="1" applyBorder="1" applyFill="1" applyFont="1">
      <alignment horizontal="center"/>
    </xf>
    <xf borderId="9" fillId="3" fontId="2" numFmtId="0" xfId="0" applyAlignment="1" applyBorder="1" applyFill="1" applyFont="1">
      <alignment horizontal="center"/>
    </xf>
    <xf borderId="51" fillId="4" fontId="2" numFmtId="0" xfId="0" applyAlignment="1" applyBorder="1" applyFill="1" applyFont="1">
      <alignment horizontal="center"/>
    </xf>
    <xf borderId="54" fillId="3" fontId="2" numFmtId="0" xfId="0" applyAlignment="1" applyBorder="1" applyFill="1" applyFont="1">
      <alignment horizontal="center"/>
    </xf>
    <xf borderId="56" fillId="0" fontId="4" numFmtId="0" xfId="0" applyBorder="1" applyFont="1"/>
    <xf borderId="57" fillId="0" fontId="4" numFmtId="0" xfId="0" applyBorder="1" applyFont="1"/>
    <xf borderId="58" fillId="0" fontId="4" numFmtId="0" xfId="0" applyBorder="1" applyFont="1"/>
    <xf borderId="50" fillId="5" fontId="2" numFmtId="0" xfId="0" applyAlignment="1" applyBorder="1" applyFill="1" applyFont="1">
      <alignment horizontal="center" vertical="center"/>
    </xf>
    <xf borderId="22" fillId="5" fontId="2" numFmtId="0" xfId="0" applyAlignment="1" applyBorder="1" applyFill="1" applyFont="1">
      <alignment horizontal="center"/>
    </xf>
    <xf borderId="25" fillId="5" fontId="2" numFmtId="0" xfId="0" applyAlignment="1" applyBorder="1" applyFill="1" applyFont="1">
      <alignment horizontal="center"/>
    </xf>
    <xf borderId="28" fillId="0" fontId="2" numFmtId="0" xfId="0" applyAlignment="1" applyBorder="1" applyFont="1">
      <alignment horizontal="center"/>
    </xf>
    <xf borderId="27" fillId="0" fontId="2" numFmtId="0" xfId="0" applyAlignment="1" applyBorder="1" applyFont="1">
      <alignment horizontal="center"/>
    </xf>
    <xf borderId="23" fillId="0" fontId="2" numFmtId="0" xfId="0" applyAlignment="1" applyBorder="1" applyFont="1">
      <alignment horizontal="center"/>
    </xf>
    <xf borderId="34" fillId="0" fontId="2" numFmtId="0" xfId="0" applyAlignment="1" applyBorder="1" applyFont="1">
      <alignment horizontal="center"/>
    </xf>
    <xf borderId="32" fillId="0" fontId="2" numFmtId="0" xfId="0" applyAlignment="1" applyBorder="1" applyFont="1">
      <alignment horizontal="center"/>
    </xf>
    <xf borderId="33" fillId="0" fontId="2" numFmtId="0" xfId="0" applyAlignment="1" applyBorder="1" applyFont="1">
      <alignment horizontal="center"/>
    </xf>
    <xf borderId="41" fillId="2" fontId="2" numFmtId="0" xfId="0" applyAlignment="1" applyBorder="1" applyFill="1" applyFont="1">
      <alignment horizontal="center" shrinkToFit="0" vertical="center" wrapText="1"/>
    </xf>
    <xf borderId="59" fillId="0" fontId="4" numFmtId="0" xfId="0" applyBorder="1" applyFont="1"/>
    <xf borderId="19" fillId="4" fontId="2" numFmtId="0" xfId="0" applyAlignment="1" applyBorder="1" applyFill="1" applyFont="1">
      <alignment horizontal="center"/>
    </xf>
    <xf borderId="18" fillId="4" fontId="2" numFmtId="0" xfId="0" applyAlignment="1" applyBorder="1" applyFill="1" applyFont="1">
      <alignment horizontal="center"/>
    </xf>
    <xf borderId="10" fillId="3" fontId="2" numFmtId="0" xfId="0" applyAlignment="1" applyBorder="1" applyFill="1" applyFont="1">
      <alignment horizontal="center"/>
    </xf>
    <xf borderId="11" fillId="3" fontId="2" numFmtId="0" xfId="0" applyAlignment="1" applyBorder="1" applyFill="1" applyFont="1">
      <alignment horizontal="center"/>
    </xf>
    <xf borderId="18" fillId="5" fontId="2" numFmtId="0" xfId="0" applyAlignment="1" applyBorder="1" applyFill="1" applyFont="1">
      <alignment horizontal="center"/>
    </xf>
    <xf borderId="19" fillId="5" fontId="2" numFmtId="0" xfId="0" applyAlignment="1" applyBorder="1" applyFill="1" applyFont="1">
      <alignment horizontal="center"/>
    </xf>
    <xf borderId="50" fillId="3" fontId="2" numFmtId="0" xfId="0" applyAlignment="1" applyBorder="1" applyFill="1" applyFont="1">
      <alignment horizontal="center" vertical="center"/>
    </xf>
    <xf borderId="18" fillId="0" fontId="2" numFmtId="0" xfId="0" applyAlignment="1" applyBorder="1" applyFont="1">
      <alignment horizontal="center"/>
    </xf>
    <xf borderId="19" fillId="0" fontId="2" numFmtId="0" xfId="0" applyAlignment="1" applyBorder="1" applyFont="1">
      <alignment horizontal="center"/>
    </xf>
    <xf borderId="21" fillId="0" fontId="2" numFmtId="0" xfId="0" applyAlignment="1" applyBorder="1" applyFont="1">
      <alignment horizontal="center"/>
    </xf>
    <xf borderId="9" fillId="0" fontId="2" numFmtId="0" xfId="0" applyAlignment="1" applyBorder="1" applyFont="1">
      <alignment horizontal="center"/>
    </xf>
    <xf borderId="55" fillId="5" fontId="2" numFmtId="0" xfId="0" applyAlignment="1" applyBorder="1" applyFill="1" applyFont="1">
      <alignment horizontal="center"/>
    </xf>
    <xf borderId="54" fillId="4" fontId="2" numFmtId="0" xfId="0" applyAlignment="1" applyBorder="1" applyFill="1" applyFont="1">
      <alignment horizontal="center"/>
    </xf>
    <xf borderId="55" fillId="4" fontId="2" numFmtId="0" xfId="0" applyAlignment="1" applyBorder="1" applyFill="1" applyFont="1">
      <alignment horizontal="center"/>
    </xf>
    <xf borderId="9" fillId="2" fontId="1" numFmtId="0" xfId="0" applyAlignment="1" applyBorder="1" applyFill="1" applyFont="1">
      <alignment horizontal="center" vertical="center"/>
    </xf>
    <xf borderId="30" fillId="2" fontId="1" numFmtId="0" xfId="0" applyAlignment="1" applyBorder="1" applyFill="1" applyFont="1">
      <alignment horizontal="center"/>
    </xf>
    <xf borderId="35" fillId="2" fontId="1" numFmtId="0" xfId="0" applyAlignment="1" applyBorder="1" applyFill="1" applyFont="1">
      <alignment horizontal="center"/>
    </xf>
    <xf borderId="60" fillId="2" fontId="2" numFmtId="0" xfId="0" applyAlignment="1" applyBorder="1" applyFill="1" applyFont="1">
      <alignment horizontal="center" shrinkToFit="0" vertical="center" wrapText="1"/>
    </xf>
    <xf borderId="61" fillId="0" fontId="4" numFmtId="0" xfId="0" applyBorder="1" applyFont="1"/>
    <xf borderId="22" fillId="2" fontId="1" numFmtId="0" xfId="0" applyAlignment="1" applyBorder="1" applyFill="1" applyFont="1">
      <alignment horizontal="center" vertical="center"/>
    </xf>
    <xf borderId="11" fillId="0" fontId="2" numFmtId="0" xfId="0" applyAlignment="1" applyBorder="1" applyFont="1">
      <alignment horizontal="center"/>
    </xf>
    <xf borderId="10" fillId="0" fontId="2" numFmtId="0" xfId="0" applyAlignment="1" applyBorder="1" applyFont="1">
      <alignment horizontal="center"/>
    </xf>
    <xf borderId="62" fillId="2" fontId="1" numFmtId="0" xfId="0" applyAlignment="1" applyBorder="1" applyFill="1" applyFont="1">
      <alignment horizontal="center" vertical="center"/>
    </xf>
    <xf borderId="20" fillId="5" fontId="2" numFmtId="0" xfId="0" applyAlignment="1" applyBorder="1" applyFill="1" applyFont="1">
      <alignment horizontal="center"/>
    </xf>
    <xf borderId="63" fillId="2" fontId="1" numFmtId="0" xfId="0" applyAlignment="1" applyBorder="1" applyFill="1" applyFont="1">
      <alignment horizontal="center" vertical="center"/>
    </xf>
    <xf borderId="20" fillId="3" fontId="2" numFmtId="0" xfId="0" applyAlignment="1" applyBorder="1" applyFill="1" applyFont="1">
      <alignment horizontal="center"/>
    </xf>
    <xf borderId="64" fillId="5" fontId="2" numFmtId="0" xfId="0" applyAlignment="1" applyBorder="1" applyFill="1" applyFont="1">
      <alignment horizontal="center"/>
    </xf>
    <xf borderId="65" fillId="2" fontId="1" numFmtId="0" xfId="0" applyAlignment="1" applyBorder="1" applyFill="1" applyFont="1">
      <alignment horizontal="center" vertical="center"/>
    </xf>
    <xf borderId="0" fillId="0" fontId="2" numFmtId="0" xfId="0" applyAlignment="1" applyFont="1">
      <alignment horizontal="center"/>
    </xf>
    <xf borderId="11" fillId="4" fontId="2" numFmtId="0" xfId="0" applyAlignment="1" applyBorder="1" applyFill="1" applyFont="1">
      <alignment horizontal="center"/>
    </xf>
    <xf borderId="26" fillId="0" fontId="2" numFmtId="0" xfId="0" applyAlignment="1" applyBorder="1" applyFont="1">
      <alignment horizontal="center"/>
    </xf>
    <xf borderId="29" fillId="0" fontId="2" numFmtId="0" xfId="0" applyAlignment="1" applyBorder="1" applyFont="1">
      <alignment horizontal="center"/>
    </xf>
    <xf borderId="9" fillId="4" fontId="2" numFmtId="0" xfId="0" applyAlignment="1" applyBorder="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38" Type="http://customschemas.google.com/relationships/workbookmetadata" Target="metadata"/><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6" width="8.71"/>
  </cols>
  <sheetData>
    <row r="1">
      <c r="A1" s="6" t="s">
        <v>0</v>
      </c>
    </row>
    <row r="2">
      <c r="A2" s="7" t="s">
        <v>2</v>
      </c>
    </row>
    <row r="3">
      <c r="A3" s="7" t="s">
        <v>4</v>
      </c>
    </row>
    <row r="4">
      <c r="A4" s="7" t="s">
        <v>5</v>
      </c>
    </row>
    <row r="5">
      <c r="A5" s="7" t="s">
        <v>7</v>
      </c>
    </row>
    <row r="6">
      <c r="A6" s="7" t="s">
        <v>9</v>
      </c>
    </row>
    <row r="7">
      <c r="A7" s="12" t="s">
        <v>10</v>
      </c>
      <c r="B7" s="14"/>
      <c r="C7" s="14"/>
      <c r="D7" s="14"/>
      <c r="E7" s="14"/>
      <c r="F7" s="14"/>
      <c r="G7" s="14"/>
      <c r="H7" s="14"/>
      <c r="I7" s="14"/>
      <c r="J7" s="14"/>
      <c r="K7" s="14"/>
      <c r="L7" s="14"/>
      <c r="M7" s="14"/>
      <c r="N7" s="14"/>
      <c r="O7" s="14"/>
      <c r="P7" s="14"/>
      <c r="Q7" s="14"/>
      <c r="R7" s="14"/>
      <c r="S7" s="14"/>
      <c r="T7" s="14"/>
      <c r="U7" s="14"/>
      <c r="V7" s="14"/>
      <c r="W7" s="14"/>
      <c r="X7" s="14"/>
      <c r="Y7" s="14"/>
      <c r="Z7" s="14"/>
    </row>
    <row r="8">
      <c r="A8" s="12" t="s">
        <v>14</v>
      </c>
      <c r="B8" s="14"/>
      <c r="C8" s="14"/>
      <c r="D8" s="14"/>
      <c r="E8" s="14"/>
      <c r="F8" s="14"/>
      <c r="G8" s="14"/>
      <c r="H8" s="14"/>
      <c r="I8" s="14"/>
      <c r="J8" s="14"/>
      <c r="K8" s="14"/>
      <c r="L8" s="14"/>
      <c r="M8" s="14"/>
      <c r="N8" s="14"/>
      <c r="O8" s="14"/>
      <c r="P8" s="14"/>
      <c r="Q8" s="14"/>
      <c r="R8" s="14"/>
      <c r="S8" s="14"/>
      <c r="T8" s="14"/>
      <c r="U8" s="14"/>
      <c r="V8" s="14"/>
      <c r="W8" s="14"/>
      <c r="X8" s="14"/>
      <c r="Y8" s="14"/>
      <c r="Z8" s="14"/>
    </row>
    <row r="11">
      <c r="A11" s="24" t="s">
        <v>15</v>
      </c>
      <c r="B11" s="14"/>
      <c r="C11" s="14"/>
      <c r="D11" s="14"/>
      <c r="E11" s="14"/>
      <c r="F11" s="14"/>
      <c r="G11" s="14"/>
      <c r="H11" s="14"/>
      <c r="I11" s="14"/>
      <c r="J11" s="14"/>
      <c r="K11" s="14"/>
      <c r="L11" s="14"/>
      <c r="M11" s="14"/>
      <c r="N11" s="14"/>
    </row>
    <row r="12">
      <c r="A12" s="28" t="s">
        <v>17</v>
      </c>
      <c r="B12" s="28"/>
      <c r="C12" s="28"/>
      <c r="D12" s="28"/>
      <c r="E12" s="28"/>
      <c r="F12" s="28"/>
      <c r="G12" s="28"/>
      <c r="H12" s="28"/>
      <c r="I12" s="28"/>
      <c r="J12" s="28"/>
      <c r="K12" s="28"/>
      <c r="L12" s="28"/>
      <c r="M12" s="28"/>
      <c r="N12" s="28"/>
      <c r="O12" s="28"/>
      <c r="P12" s="28"/>
      <c r="Q12" s="28"/>
      <c r="R12" s="28"/>
    </row>
    <row r="13">
      <c r="A13" s="28" t="s">
        <v>19</v>
      </c>
      <c r="B13" s="28"/>
      <c r="C13" s="28"/>
      <c r="D13" s="28"/>
      <c r="E13" s="28"/>
      <c r="F13" s="28"/>
      <c r="G13" s="28"/>
      <c r="H13" s="28"/>
      <c r="I13" s="28"/>
      <c r="J13" s="28"/>
      <c r="K13" s="28"/>
      <c r="L13" s="28"/>
      <c r="M13" s="28"/>
      <c r="N13" s="28"/>
      <c r="O13" s="28"/>
      <c r="P13" s="28"/>
      <c r="Q13" s="28"/>
      <c r="R13" s="28"/>
    </row>
    <row r="14">
      <c r="A14" s="28" t="s">
        <v>20</v>
      </c>
      <c r="B14" s="28"/>
      <c r="C14" s="28"/>
      <c r="D14" s="28"/>
      <c r="E14" s="28"/>
      <c r="F14" s="28"/>
      <c r="G14" s="28"/>
      <c r="H14" s="28"/>
      <c r="I14" s="28"/>
      <c r="J14" s="28"/>
      <c r="K14" s="28"/>
      <c r="L14" s="28"/>
      <c r="M14" s="28"/>
      <c r="N14" s="28"/>
      <c r="O14" s="28"/>
      <c r="P14" s="28"/>
      <c r="Q14" s="28"/>
      <c r="R14" s="28"/>
    </row>
    <row r="15">
      <c r="A15" s="28" t="s">
        <v>21</v>
      </c>
      <c r="B15" s="28"/>
      <c r="C15" s="28"/>
      <c r="D15" s="28"/>
      <c r="E15" s="28"/>
      <c r="F15" s="28"/>
      <c r="G15" s="28"/>
      <c r="H15" s="28"/>
      <c r="I15" s="28"/>
      <c r="J15" s="28"/>
      <c r="K15" s="28"/>
      <c r="L15" s="28"/>
      <c r="M15" s="28"/>
      <c r="N15" s="28"/>
      <c r="O15" s="28"/>
      <c r="P15" s="28"/>
      <c r="Q15" s="28"/>
      <c r="R15" s="28"/>
    </row>
    <row r="16">
      <c r="A16" s="28"/>
      <c r="B16" s="28"/>
      <c r="C16" s="28"/>
      <c r="D16" s="28"/>
      <c r="E16" s="28"/>
      <c r="F16" s="28"/>
      <c r="G16" s="28"/>
      <c r="H16" s="28"/>
      <c r="I16" s="28"/>
      <c r="J16" s="28"/>
      <c r="K16" s="28"/>
      <c r="L16" s="28"/>
      <c r="M16" s="28"/>
      <c r="N16" s="28"/>
      <c r="O16" s="28"/>
      <c r="P16" s="28"/>
      <c r="Q16" s="28"/>
      <c r="R16" s="28"/>
    </row>
    <row r="17">
      <c r="A17" s="28" t="s">
        <v>23</v>
      </c>
      <c r="B17" s="28"/>
      <c r="C17" s="28"/>
      <c r="D17" s="28"/>
      <c r="E17" s="28"/>
      <c r="F17" s="28"/>
      <c r="G17" s="28"/>
      <c r="H17" s="28"/>
      <c r="I17" s="28"/>
      <c r="J17" s="28"/>
      <c r="K17" s="28"/>
      <c r="L17" s="28"/>
      <c r="M17" s="28"/>
      <c r="N17" s="28"/>
      <c r="O17" s="28"/>
      <c r="P17" s="28"/>
      <c r="Q17" s="28"/>
      <c r="R17" s="28"/>
    </row>
    <row r="18">
      <c r="A18" s="28" t="s">
        <v>25</v>
      </c>
      <c r="B18" s="28"/>
      <c r="C18" s="28"/>
      <c r="D18" s="28"/>
      <c r="E18" s="28"/>
      <c r="F18" s="28"/>
      <c r="G18" s="28"/>
      <c r="H18" s="28"/>
      <c r="I18" s="28"/>
      <c r="J18" s="28"/>
      <c r="K18" s="28"/>
      <c r="L18" s="28"/>
      <c r="M18" s="28"/>
      <c r="N18" s="28"/>
      <c r="O18" s="28"/>
      <c r="P18" s="28"/>
      <c r="Q18" s="28"/>
      <c r="R18" s="28"/>
    </row>
    <row r="19">
      <c r="A19" s="28" t="s">
        <v>27</v>
      </c>
      <c r="B19" s="28"/>
      <c r="C19" s="28"/>
      <c r="D19" s="28"/>
      <c r="E19" s="28"/>
      <c r="F19" s="28"/>
      <c r="G19" s="28"/>
      <c r="H19" s="28"/>
      <c r="I19" s="28"/>
      <c r="J19" s="28"/>
      <c r="K19" s="28"/>
      <c r="L19" s="28"/>
      <c r="M19" s="28"/>
      <c r="N19" s="28"/>
      <c r="O19" s="28"/>
      <c r="P19" s="28"/>
      <c r="Q19" s="28"/>
      <c r="R19" s="28"/>
    </row>
    <row r="20">
      <c r="A20" s="28" t="s">
        <v>29</v>
      </c>
      <c r="B20" s="28"/>
      <c r="C20" s="28"/>
      <c r="D20" s="28"/>
      <c r="E20" s="28"/>
      <c r="F20" s="28"/>
      <c r="G20" s="28"/>
      <c r="H20" s="28"/>
      <c r="I20" s="28"/>
      <c r="J20" s="28"/>
      <c r="K20" s="28"/>
      <c r="L20" s="28"/>
      <c r="M20" s="28"/>
      <c r="N20" s="28"/>
      <c r="O20" s="28"/>
      <c r="P20" s="28"/>
      <c r="Q20" s="28"/>
      <c r="R20" s="28"/>
    </row>
    <row r="21" ht="15.75" customHeight="1">
      <c r="A21" s="28"/>
      <c r="B21" s="28"/>
      <c r="C21" s="28"/>
      <c r="D21" s="28"/>
      <c r="E21" s="28"/>
      <c r="F21" s="28"/>
      <c r="G21" s="28"/>
      <c r="H21" s="28"/>
      <c r="I21" s="28"/>
      <c r="J21" s="28"/>
      <c r="K21" s="28"/>
      <c r="L21" s="28"/>
      <c r="M21" s="28"/>
      <c r="N21" s="28"/>
      <c r="O21" s="28"/>
      <c r="P21" s="28"/>
      <c r="Q21" s="28"/>
      <c r="R21" s="28"/>
    </row>
    <row r="22" ht="15.75" customHeight="1">
      <c r="A22" s="28" t="s">
        <v>30</v>
      </c>
      <c r="B22" s="28"/>
      <c r="C22" s="28"/>
      <c r="D22" s="28"/>
      <c r="E22" s="28"/>
      <c r="F22" s="28"/>
      <c r="G22" s="28"/>
      <c r="H22" s="28"/>
      <c r="I22" s="28"/>
      <c r="J22" s="28"/>
      <c r="K22" s="28"/>
      <c r="L22" s="28"/>
      <c r="M22" s="28"/>
      <c r="N22" s="28"/>
      <c r="O22" s="28"/>
      <c r="P22" s="28"/>
      <c r="Q22" s="28"/>
      <c r="R22" s="28"/>
    </row>
    <row r="23" ht="15.75" customHeight="1">
      <c r="A23" s="28"/>
      <c r="B23" s="28"/>
      <c r="C23" s="28"/>
      <c r="D23" s="28"/>
      <c r="E23" s="28"/>
      <c r="F23" s="28"/>
      <c r="G23" s="28"/>
      <c r="H23" s="28"/>
      <c r="I23" s="28"/>
      <c r="J23" s="28"/>
      <c r="K23" s="28"/>
      <c r="L23" s="28"/>
      <c r="M23" s="28"/>
      <c r="N23" s="28"/>
      <c r="O23" s="28"/>
      <c r="P23" s="28"/>
      <c r="Q23" s="28"/>
      <c r="R23" s="28"/>
    </row>
    <row r="24" ht="15.75" customHeight="1">
      <c r="A24" s="68" t="s">
        <v>31</v>
      </c>
      <c r="B24" s="28"/>
      <c r="C24" s="28"/>
      <c r="D24" s="28"/>
      <c r="E24" s="28"/>
      <c r="F24" s="28"/>
      <c r="G24" s="28"/>
      <c r="H24" s="28"/>
      <c r="I24" s="28"/>
      <c r="J24" s="28"/>
      <c r="K24" s="28"/>
      <c r="L24" s="28"/>
      <c r="M24" s="28"/>
      <c r="N24" s="28"/>
      <c r="O24" s="28"/>
      <c r="P24" s="28"/>
      <c r="Q24" s="28"/>
      <c r="R24" s="28"/>
    </row>
    <row r="25" ht="15.75" customHeight="1">
      <c r="A25" s="69">
        <v>1.0</v>
      </c>
      <c r="B25" s="28" t="s">
        <v>32</v>
      </c>
      <c r="C25" s="28"/>
      <c r="D25" s="28"/>
      <c r="E25" s="28"/>
      <c r="F25" s="28"/>
      <c r="G25" s="28"/>
      <c r="H25" s="28"/>
      <c r="I25" s="28"/>
      <c r="J25" s="28"/>
      <c r="K25" s="28"/>
      <c r="L25" s="28"/>
      <c r="M25" s="28"/>
      <c r="N25" s="28"/>
      <c r="O25" s="28"/>
      <c r="P25" s="28"/>
      <c r="Q25" s="28"/>
      <c r="R25" s="28"/>
    </row>
    <row r="26" ht="15.75" customHeight="1">
      <c r="A26" s="74">
        <v>0.5</v>
      </c>
      <c r="B26" s="28" t="s">
        <v>33</v>
      </c>
      <c r="N26" s="14"/>
    </row>
    <row r="27" ht="15.75" customHeight="1">
      <c r="A27" s="75">
        <v>0.25</v>
      </c>
      <c r="B27" s="28" t="s">
        <v>34</v>
      </c>
      <c r="N27" s="14"/>
    </row>
    <row r="28" ht="15.75" customHeight="1">
      <c r="A28" s="76">
        <v>0.0</v>
      </c>
      <c r="B28" s="28" t="s">
        <v>35</v>
      </c>
      <c r="N28" s="14"/>
    </row>
    <row r="29" ht="15.75" customHeight="1">
      <c r="A29" s="76"/>
      <c r="B29" s="14"/>
      <c r="C29" s="14"/>
      <c r="D29" s="14"/>
      <c r="E29" s="14"/>
      <c r="F29" s="14"/>
      <c r="G29" s="14"/>
      <c r="H29" s="14"/>
      <c r="I29" s="14"/>
      <c r="J29" s="14"/>
      <c r="K29" s="14"/>
      <c r="L29" s="14"/>
      <c r="M29" s="14"/>
      <c r="N29" s="14"/>
    </row>
    <row r="30" ht="15.75" customHeight="1">
      <c r="A30" s="77" t="s">
        <v>36</v>
      </c>
      <c r="B30" s="14"/>
      <c r="C30" s="14"/>
      <c r="D30" s="14"/>
      <c r="E30" s="14"/>
      <c r="F30" s="14"/>
      <c r="G30" s="14"/>
      <c r="H30" s="14"/>
      <c r="I30" s="14"/>
      <c r="J30" s="14"/>
      <c r="K30" s="14"/>
      <c r="L30" s="14"/>
      <c r="M30" s="14"/>
      <c r="N30" s="14"/>
    </row>
    <row r="31" ht="15.75" customHeight="1">
      <c r="A31" s="78" t="s">
        <v>37</v>
      </c>
      <c r="B31" s="78"/>
      <c r="C31" s="78"/>
      <c r="D31" s="78"/>
      <c r="E31" s="78"/>
      <c r="F31" s="78"/>
      <c r="G31" s="78"/>
      <c r="H31" s="78"/>
      <c r="I31" s="78"/>
      <c r="N31" s="14"/>
    </row>
    <row r="32" ht="15.75" customHeight="1">
      <c r="A32" s="78" t="s">
        <v>38</v>
      </c>
      <c r="B32" s="78"/>
      <c r="C32" s="78"/>
      <c r="D32" s="78"/>
      <c r="E32" s="78"/>
      <c r="F32" s="78"/>
      <c r="G32" s="78"/>
      <c r="H32" s="79"/>
      <c r="N32" s="14"/>
    </row>
    <row r="33" ht="15.75" customHeight="1">
      <c r="A33" s="78" t="s">
        <v>39</v>
      </c>
      <c r="B33" s="78"/>
      <c r="C33" s="78"/>
      <c r="D33" s="78"/>
      <c r="E33" s="78"/>
      <c r="F33" s="78"/>
      <c r="G33" s="78"/>
      <c r="H33" s="79"/>
      <c r="N33" s="14"/>
    </row>
    <row r="34" ht="15.75" customHeight="1">
      <c r="A34" s="78" t="s">
        <v>40</v>
      </c>
      <c r="B34" s="78"/>
      <c r="C34" s="78"/>
      <c r="D34" s="78"/>
      <c r="E34" s="78"/>
      <c r="F34" s="78"/>
      <c r="G34" s="78"/>
      <c r="H34" s="79"/>
      <c r="N34" s="14"/>
    </row>
    <row r="35" ht="15.75" customHeight="1">
      <c r="A35" s="78" t="s">
        <v>41</v>
      </c>
      <c r="B35" s="78"/>
      <c r="C35" s="78"/>
      <c r="D35" s="78"/>
      <c r="E35" s="78"/>
      <c r="F35" s="78"/>
      <c r="G35" s="78"/>
      <c r="H35" s="79"/>
      <c r="N35" s="14"/>
    </row>
    <row r="36" ht="15.75" customHeight="1">
      <c r="A36" s="78" t="s">
        <v>21</v>
      </c>
      <c r="B36" s="78"/>
      <c r="C36" s="78"/>
      <c r="D36" s="78"/>
      <c r="E36" s="78"/>
      <c r="F36" s="78"/>
      <c r="G36" s="78"/>
      <c r="H36" s="78"/>
      <c r="I36" s="78"/>
      <c r="N36" s="14"/>
    </row>
    <row r="37" ht="15.75" customHeight="1">
      <c r="A37" s="78"/>
      <c r="B37" s="78"/>
      <c r="C37" s="78"/>
      <c r="D37" s="78"/>
      <c r="E37" s="78"/>
      <c r="F37" s="78"/>
      <c r="G37" s="78"/>
      <c r="H37" s="78"/>
      <c r="I37" s="78"/>
      <c r="N37" s="14"/>
    </row>
    <row r="38" ht="15.75" customHeight="1">
      <c r="A38" s="78" t="s">
        <v>23</v>
      </c>
      <c r="B38" s="78"/>
      <c r="C38" s="78"/>
      <c r="D38" s="78"/>
      <c r="E38" s="78"/>
      <c r="F38" s="78"/>
      <c r="G38" s="78"/>
      <c r="H38" s="78"/>
      <c r="I38" s="78"/>
      <c r="N38" s="14"/>
    </row>
    <row r="39" ht="15.75" customHeight="1">
      <c r="A39" s="78" t="s">
        <v>42</v>
      </c>
      <c r="B39" s="78"/>
      <c r="C39" s="78"/>
      <c r="D39" s="78"/>
      <c r="E39" s="78"/>
      <c r="F39" s="78"/>
      <c r="G39" s="78"/>
      <c r="H39" s="78"/>
      <c r="I39" s="78"/>
      <c r="N39" s="14"/>
    </row>
    <row r="40" ht="15.75" customHeight="1">
      <c r="A40" s="78" t="s">
        <v>43</v>
      </c>
      <c r="B40" s="78"/>
      <c r="C40" s="78"/>
      <c r="D40" s="78"/>
      <c r="E40" s="78"/>
      <c r="F40" s="78"/>
      <c r="G40" s="78"/>
      <c r="H40" s="78"/>
      <c r="I40" s="78"/>
      <c r="N40" s="14"/>
    </row>
    <row r="41" ht="15.75" customHeight="1">
      <c r="A41" s="78" t="s">
        <v>44</v>
      </c>
      <c r="B41" s="78"/>
      <c r="C41" s="78"/>
      <c r="D41" s="78"/>
      <c r="E41" s="78"/>
      <c r="F41" s="78"/>
      <c r="G41" s="78"/>
      <c r="H41" s="78"/>
      <c r="I41" s="78"/>
      <c r="N41" s="14"/>
    </row>
    <row r="42" ht="15.75" customHeight="1">
      <c r="A42" s="78"/>
      <c r="B42" s="78"/>
      <c r="C42" s="78"/>
      <c r="D42" s="78"/>
      <c r="E42" s="78"/>
      <c r="F42" s="78"/>
      <c r="G42" s="78"/>
      <c r="H42" s="78"/>
      <c r="I42" s="78"/>
      <c r="N42" s="14"/>
    </row>
    <row r="43" ht="15.75" customHeight="1">
      <c r="A43" s="78" t="s">
        <v>45</v>
      </c>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15.75" customHeight="1">
      <c r="A44" s="78"/>
      <c r="B44" s="78"/>
      <c r="C44" s="78"/>
      <c r="D44" s="78"/>
      <c r="E44" s="78"/>
      <c r="F44" s="78"/>
      <c r="G44" s="78"/>
      <c r="H44" s="78"/>
      <c r="I44" s="78"/>
      <c r="N44" s="14"/>
    </row>
    <row r="45" ht="15.75" customHeight="1">
      <c r="A45" s="80" t="s">
        <v>46</v>
      </c>
      <c r="N45" s="14"/>
    </row>
    <row r="46" ht="15.75" customHeight="1">
      <c r="A46" s="69" t="s">
        <v>47</v>
      </c>
      <c r="B46" s="78" t="s">
        <v>48</v>
      </c>
      <c r="G46" s="81"/>
      <c r="N46" s="14"/>
    </row>
    <row r="47" ht="15.75" customHeight="1">
      <c r="A47" s="82" t="s">
        <v>49</v>
      </c>
      <c r="B47" s="78" t="s">
        <v>50</v>
      </c>
      <c r="G47" s="63"/>
      <c r="N47" s="14"/>
    </row>
    <row r="48" ht="15.75" customHeight="1">
      <c r="A48" s="83" t="s">
        <v>51</v>
      </c>
      <c r="B48" s="78" t="s">
        <v>52</v>
      </c>
      <c r="G48" s="63"/>
      <c r="N48" s="14"/>
    </row>
    <row r="49" ht="15.75" customHeight="1">
      <c r="A49" s="76" t="s">
        <v>53</v>
      </c>
      <c r="B49" s="78" t="s">
        <v>54</v>
      </c>
      <c r="G49" s="63"/>
      <c r="N49" s="14"/>
    </row>
    <row r="50" ht="15.75" customHeight="1">
      <c r="A50" s="14"/>
      <c r="B50" s="14"/>
      <c r="C50" s="14"/>
      <c r="D50" s="14"/>
      <c r="E50" s="14"/>
      <c r="F50" s="14"/>
      <c r="G50" s="14"/>
      <c r="H50" s="14"/>
      <c r="I50" s="14"/>
      <c r="J50" s="14"/>
      <c r="K50" s="14"/>
      <c r="L50" s="14"/>
      <c r="M50" s="14"/>
      <c r="N50" s="14"/>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H32:I32"/>
    <mergeCell ref="H33:I33"/>
    <mergeCell ref="H34:I34"/>
    <mergeCell ref="H35:I3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8.0"/>
    <col customWidth="1" min="3" max="3" width="15.71"/>
    <col customWidth="1" min="4" max="4" width="18.0"/>
    <col customWidth="1" min="5" max="5" width="8.71"/>
    <col customWidth="1" min="6" max="6" width="11.29"/>
    <col customWidth="1" min="7" max="7" width="11.43"/>
    <col customWidth="1" min="8" max="8" width="14.71"/>
    <col customWidth="1" min="9" max="26" width="8.71"/>
  </cols>
  <sheetData>
    <row r="1">
      <c r="A1" s="1"/>
      <c r="B1" s="3"/>
      <c r="C1" s="3"/>
      <c r="D1" s="3"/>
      <c r="E1" s="5"/>
      <c r="F1" s="5"/>
      <c r="G1" s="5"/>
      <c r="H1" s="5"/>
      <c r="I1" s="5"/>
      <c r="J1" s="5"/>
      <c r="K1" s="5"/>
      <c r="L1" s="5"/>
      <c r="M1" s="5"/>
      <c r="N1" s="5"/>
      <c r="O1" s="5"/>
      <c r="P1" s="5"/>
      <c r="Q1" s="5"/>
      <c r="R1" s="5"/>
      <c r="S1" s="5"/>
      <c r="T1" s="5"/>
      <c r="U1" s="5"/>
      <c r="V1" s="5"/>
      <c r="W1" s="5"/>
      <c r="X1" s="5"/>
      <c r="Y1" s="5"/>
      <c r="Z1" s="5"/>
    </row>
    <row r="2" ht="15.0" customHeight="1">
      <c r="A2" s="1"/>
      <c r="B2" s="8" t="s">
        <v>6</v>
      </c>
      <c r="C2" s="9"/>
      <c r="D2" s="9"/>
      <c r="E2" s="10"/>
      <c r="F2" s="11" t="s">
        <v>8</v>
      </c>
      <c r="G2" s="13"/>
      <c r="H2" s="15"/>
      <c r="I2" s="5"/>
      <c r="J2" s="5"/>
      <c r="K2" s="5"/>
      <c r="L2" s="5"/>
      <c r="M2" s="5"/>
      <c r="N2" s="5"/>
      <c r="O2" s="5"/>
      <c r="P2" s="5"/>
      <c r="Q2" s="5"/>
      <c r="R2" s="5"/>
      <c r="S2" s="5"/>
      <c r="T2" s="5"/>
      <c r="U2" s="5"/>
      <c r="V2" s="5"/>
      <c r="W2" s="5"/>
      <c r="X2" s="5"/>
      <c r="Y2" s="5"/>
      <c r="Z2" s="5"/>
    </row>
    <row r="3" ht="21.0" customHeight="1">
      <c r="A3" s="1"/>
      <c r="B3" s="16"/>
      <c r="E3" s="17"/>
      <c r="F3" s="18" t="s">
        <v>11</v>
      </c>
      <c r="G3" s="19" t="s">
        <v>12</v>
      </c>
      <c r="H3" s="20" t="s">
        <v>13</v>
      </c>
      <c r="I3" s="5"/>
      <c r="J3" s="5"/>
      <c r="K3" s="5"/>
      <c r="L3" s="5"/>
      <c r="M3" s="5"/>
      <c r="N3" s="5"/>
      <c r="O3" s="5"/>
      <c r="P3" s="5"/>
      <c r="Q3" s="5"/>
      <c r="R3" s="5"/>
      <c r="S3" s="5"/>
      <c r="T3" s="5"/>
      <c r="U3" s="5"/>
      <c r="V3" s="5"/>
      <c r="W3" s="5"/>
      <c r="X3" s="5"/>
      <c r="Y3" s="5"/>
      <c r="Z3" s="5"/>
    </row>
    <row r="4" ht="20.25" customHeight="1">
      <c r="A4" s="1"/>
      <c r="B4" s="16"/>
      <c r="E4" s="17"/>
      <c r="F4" s="27">
        <v>0.5</v>
      </c>
      <c r="G4" s="27">
        <v>0.5</v>
      </c>
      <c r="H4" s="30">
        <v>0.5</v>
      </c>
      <c r="I4" s="5"/>
      <c r="J4" s="5"/>
      <c r="K4" s="5"/>
      <c r="L4" s="5"/>
      <c r="M4" s="5"/>
      <c r="N4" s="5"/>
      <c r="O4" s="5"/>
      <c r="P4" s="5"/>
      <c r="Q4" s="5"/>
      <c r="R4" s="5"/>
      <c r="S4" s="5"/>
      <c r="T4" s="5"/>
      <c r="U4" s="5"/>
      <c r="V4" s="5"/>
      <c r="W4" s="5"/>
      <c r="X4" s="5"/>
      <c r="Y4" s="5"/>
      <c r="Z4" s="5"/>
    </row>
    <row r="5">
      <c r="A5" s="1"/>
      <c r="B5" s="29" t="s">
        <v>16</v>
      </c>
      <c r="C5" s="31"/>
      <c r="D5" s="32" t="s">
        <v>18</v>
      </c>
      <c r="E5" s="33">
        <v>1.0</v>
      </c>
      <c r="F5" s="37">
        <f t="shared" ref="F5:F9" si="1">E5*$F$4</f>
        <v>0.5</v>
      </c>
      <c r="G5" s="42">
        <f t="shared" ref="G5:G9" si="2">E5*$G$4</f>
        <v>0.5</v>
      </c>
      <c r="H5" s="46">
        <f t="shared" ref="H5:H9" si="3">E5*$H$4</f>
        <v>0.5</v>
      </c>
      <c r="I5" s="5"/>
      <c r="J5" s="5"/>
      <c r="K5" s="5"/>
      <c r="L5" s="5"/>
      <c r="M5" s="5"/>
      <c r="N5" s="5"/>
      <c r="O5" s="5"/>
      <c r="P5" s="5"/>
      <c r="Q5" s="5"/>
      <c r="R5" s="5"/>
      <c r="S5" s="5"/>
      <c r="T5" s="5"/>
      <c r="U5" s="5"/>
      <c r="V5" s="5"/>
      <c r="W5" s="5"/>
      <c r="X5" s="5"/>
      <c r="Y5" s="5"/>
      <c r="Z5" s="5"/>
    </row>
    <row r="6">
      <c r="A6" s="1"/>
      <c r="B6" s="16"/>
      <c r="C6" s="40"/>
      <c r="D6" s="41" t="s">
        <v>22</v>
      </c>
      <c r="E6" s="52">
        <v>0.5</v>
      </c>
      <c r="F6" s="53">
        <f t="shared" si="1"/>
        <v>0.25</v>
      </c>
      <c r="G6" s="56">
        <f t="shared" si="2"/>
        <v>0.25</v>
      </c>
      <c r="H6" s="58">
        <f t="shared" si="3"/>
        <v>0.25</v>
      </c>
      <c r="I6" s="5"/>
      <c r="J6" s="5"/>
      <c r="K6" s="5"/>
      <c r="L6" s="5"/>
      <c r="M6" s="5"/>
      <c r="N6" s="5"/>
      <c r="O6" s="5"/>
      <c r="P6" s="5"/>
      <c r="Q6" s="5"/>
      <c r="R6" s="5"/>
      <c r="S6" s="5"/>
      <c r="T6" s="5"/>
      <c r="U6" s="5"/>
      <c r="V6" s="5"/>
      <c r="W6" s="5"/>
      <c r="X6" s="5"/>
      <c r="Y6" s="5"/>
      <c r="Z6" s="5"/>
    </row>
    <row r="7">
      <c r="A7" s="1"/>
      <c r="B7" s="16"/>
      <c r="C7" s="40"/>
      <c r="D7" s="41" t="s">
        <v>24</v>
      </c>
      <c r="E7" s="52">
        <v>0.0</v>
      </c>
      <c r="F7" s="64">
        <f t="shared" si="1"/>
        <v>0</v>
      </c>
      <c r="G7" s="65">
        <f t="shared" si="2"/>
        <v>0</v>
      </c>
      <c r="H7" s="66">
        <f t="shared" si="3"/>
        <v>0</v>
      </c>
      <c r="I7" s="5"/>
      <c r="J7" s="5"/>
      <c r="K7" s="5"/>
      <c r="L7" s="5"/>
      <c r="M7" s="5"/>
      <c r="N7" s="5"/>
      <c r="O7" s="5"/>
      <c r="P7" s="5"/>
      <c r="Q7" s="5"/>
      <c r="R7" s="5"/>
      <c r="S7" s="5"/>
      <c r="T7" s="5"/>
      <c r="U7" s="5"/>
      <c r="V7" s="5"/>
      <c r="W7" s="5"/>
      <c r="X7" s="5"/>
      <c r="Y7" s="5"/>
      <c r="Z7" s="5"/>
    </row>
    <row r="8">
      <c r="A8" s="1"/>
      <c r="B8" s="16"/>
      <c r="C8" s="40"/>
      <c r="D8" s="41" t="s">
        <v>26</v>
      </c>
      <c r="E8" s="52">
        <v>0.0</v>
      </c>
      <c r="F8" s="64">
        <f t="shared" si="1"/>
        <v>0</v>
      </c>
      <c r="G8" s="65">
        <f t="shared" si="2"/>
        <v>0</v>
      </c>
      <c r="H8" s="66">
        <f t="shared" si="3"/>
        <v>0</v>
      </c>
      <c r="I8" s="5"/>
      <c r="J8" s="5"/>
      <c r="K8" s="5"/>
      <c r="L8" s="5"/>
      <c r="M8" s="5"/>
      <c r="N8" s="5"/>
      <c r="O8" s="5"/>
      <c r="P8" s="5"/>
      <c r="Q8" s="5"/>
      <c r="R8" s="5"/>
      <c r="S8" s="5"/>
      <c r="T8" s="5"/>
      <c r="U8" s="5"/>
      <c r="V8" s="5"/>
      <c r="W8" s="5"/>
      <c r="X8" s="5"/>
      <c r="Y8" s="5"/>
      <c r="Z8" s="5"/>
    </row>
    <row r="9">
      <c r="A9" s="1"/>
      <c r="B9" s="21"/>
      <c r="C9" s="55"/>
      <c r="D9" s="57" t="s">
        <v>28</v>
      </c>
      <c r="E9" s="70">
        <v>0.0</v>
      </c>
      <c r="F9" s="71">
        <f t="shared" si="1"/>
        <v>0</v>
      </c>
      <c r="G9" s="72">
        <f t="shared" si="2"/>
        <v>0</v>
      </c>
      <c r="H9" s="73">
        <f t="shared" si="3"/>
        <v>0</v>
      </c>
      <c r="I9" s="5"/>
      <c r="J9" s="5"/>
      <c r="K9" s="5"/>
      <c r="L9" s="5"/>
      <c r="M9" s="5"/>
      <c r="N9" s="5"/>
      <c r="O9" s="5"/>
      <c r="P9" s="5"/>
      <c r="Q9" s="5"/>
      <c r="R9" s="5"/>
      <c r="S9" s="5"/>
      <c r="T9" s="5"/>
      <c r="U9" s="5"/>
      <c r="V9" s="5"/>
      <c r="W9" s="5"/>
      <c r="X9" s="5"/>
      <c r="Y9" s="5"/>
      <c r="Z9" s="5"/>
    </row>
    <row r="10">
      <c r="A10" s="1"/>
      <c r="B10" s="5"/>
      <c r="C10" s="5"/>
      <c r="D10" s="5"/>
      <c r="E10" s="5"/>
      <c r="F10" s="5"/>
      <c r="G10" s="5"/>
      <c r="H10" s="5"/>
      <c r="I10" s="5"/>
      <c r="J10" s="5"/>
      <c r="K10" s="5"/>
      <c r="L10" s="5"/>
      <c r="M10" s="5"/>
      <c r="N10" s="5"/>
      <c r="O10" s="5"/>
      <c r="P10" s="5"/>
      <c r="Q10" s="5"/>
      <c r="R10" s="5"/>
      <c r="S10" s="5"/>
      <c r="T10" s="5"/>
      <c r="U10" s="5"/>
      <c r="V10" s="5"/>
      <c r="W10" s="5"/>
      <c r="X10" s="5"/>
      <c r="Y10" s="5"/>
      <c r="Z10" s="5"/>
    </row>
    <row r="11">
      <c r="A11" s="76"/>
      <c r="B11" s="5"/>
      <c r="C11" s="5"/>
      <c r="D11" s="5"/>
      <c r="E11" s="5"/>
      <c r="F11" s="5"/>
      <c r="G11" s="5"/>
      <c r="H11" s="5"/>
      <c r="I11" s="5"/>
      <c r="J11" s="5"/>
      <c r="K11" s="5"/>
      <c r="L11" s="5"/>
      <c r="M11" s="5"/>
      <c r="N11" s="5"/>
      <c r="O11" s="5"/>
      <c r="P11" s="5"/>
      <c r="Q11" s="5"/>
      <c r="R11" s="5"/>
      <c r="S11" s="5"/>
      <c r="T11" s="5"/>
      <c r="U11" s="5"/>
      <c r="V11" s="5"/>
      <c r="W11" s="5"/>
      <c r="X11" s="5"/>
      <c r="Y11" s="5"/>
      <c r="Z11" s="5"/>
    </row>
    <row r="12">
      <c r="A12" s="76"/>
      <c r="B12" s="5"/>
      <c r="C12" s="5"/>
      <c r="D12" s="5"/>
      <c r="E12" s="5"/>
      <c r="F12" s="5"/>
      <c r="G12" s="5"/>
      <c r="H12" s="5"/>
      <c r="I12" s="5"/>
      <c r="J12" s="5"/>
      <c r="K12" s="5"/>
      <c r="L12" s="5"/>
      <c r="M12" s="5"/>
      <c r="N12" s="5"/>
      <c r="O12" s="5"/>
      <c r="P12" s="5"/>
      <c r="Q12" s="5"/>
      <c r="R12" s="5"/>
      <c r="S12" s="5"/>
      <c r="T12" s="5"/>
      <c r="U12" s="5"/>
      <c r="V12" s="5"/>
      <c r="W12" s="5"/>
      <c r="X12" s="5"/>
      <c r="Y12" s="5"/>
      <c r="Z12" s="5"/>
    </row>
    <row r="13">
      <c r="A13" s="76"/>
      <c r="B13" s="5"/>
      <c r="C13" s="5"/>
      <c r="D13" s="5"/>
      <c r="E13" s="5"/>
      <c r="F13" s="5"/>
      <c r="G13" s="5"/>
      <c r="H13" s="5"/>
      <c r="I13" s="5"/>
      <c r="J13" s="5"/>
      <c r="K13" s="5"/>
      <c r="L13" s="5"/>
      <c r="M13" s="5"/>
      <c r="N13" s="5"/>
      <c r="O13" s="5"/>
      <c r="P13" s="5"/>
      <c r="Q13" s="5"/>
      <c r="R13" s="5"/>
      <c r="S13" s="5"/>
      <c r="T13" s="5"/>
      <c r="U13" s="5"/>
      <c r="V13" s="5"/>
      <c r="W13" s="5"/>
      <c r="X13" s="5"/>
      <c r="Y13" s="5"/>
      <c r="Z13" s="5"/>
    </row>
    <row r="14">
      <c r="A14" s="76"/>
      <c r="B14" s="5"/>
      <c r="C14" s="5"/>
      <c r="D14" s="5"/>
      <c r="E14" s="5"/>
      <c r="F14" s="5"/>
      <c r="G14" s="5"/>
      <c r="H14" s="5"/>
      <c r="I14" s="5"/>
      <c r="J14" s="5"/>
      <c r="K14" s="5"/>
      <c r="L14" s="5"/>
      <c r="M14" s="5"/>
      <c r="N14" s="5"/>
      <c r="O14" s="5"/>
      <c r="P14" s="5"/>
      <c r="Q14" s="5"/>
      <c r="R14" s="5"/>
      <c r="S14" s="5"/>
      <c r="T14" s="5"/>
      <c r="U14" s="5"/>
      <c r="V14" s="5"/>
      <c r="W14" s="5"/>
      <c r="X14" s="5"/>
      <c r="Y14" s="5"/>
      <c r="Z14" s="5"/>
    </row>
    <row r="15">
      <c r="A15" s="76"/>
      <c r="B15" s="5"/>
      <c r="C15" s="5"/>
      <c r="D15" s="5"/>
      <c r="E15" s="5"/>
      <c r="F15" s="5"/>
      <c r="G15" s="5"/>
      <c r="H15" s="5"/>
      <c r="I15" s="5"/>
      <c r="J15" s="5"/>
      <c r="K15" s="5"/>
      <c r="L15" s="5"/>
      <c r="M15" s="5"/>
      <c r="N15" s="5"/>
      <c r="O15" s="5"/>
      <c r="P15" s="5"/>
      <c r="Q15" s="5"/>
      <c r="R15" s="5"/>
      <c r="S15" s="5"/>
      <c r="T15" s="5"/>
      <c r="U15" s="5"/>
      <c r="V15" s="5"/>
      <c r="W15" s="5"/>
      <c r="X15" s="5"/>
      <c r="Y15" s="5"/>
      <c r="Z15" s="5"/>
    </row>
    <row r="16">
      <c r="A16" s="76"/>
      <c r="B16" s="5"/>
      <c r="C16" s="5"/>
      <c r="D16" s="5"/>
      <c r="E16" s="5"/>
      <c r="F16" s="5"/>
      <c r="G16" s="5"/>
      <c r="H16" s="5"/>
      <c r="I16" s="5"/>
      <c r="J16" s="5"/>
      <c r="K16" s="5"/>
      <c r="L16" s="5"/>
      <c r="M16" s="5"/>
      <c r="N16" s="5"/>
      <c r="O16" s="5"/>
      <c r="P16" s="5"/>
      <c r="Q16" s="5"/>
      <c r="R16" s="5"/>
      <c r="S16" s="5"/>
      <c r="T16" s="5"/>
      <c r="U16" s="5"/>
      <c r="V16" s="5"/>
      <c r="W16" s="5"/>
      <c r="X16" s="5"/>
      <c r="Y16" s="5"/>
      <c r="Z16" s="5"/>
    </row>
    <row r="17">
      <c r="A17" s="76"/>
      <c r="B17" s="5"/>
      <c r="C17" s="5"/>
      <c r="D17" s="5"/>
      <c r="E17" s="5"/>
      <c r="F17" s="5"/>
      <c r="G17" s="5"/>
      <c r="H17" s="5"/>
      <c r="I17" s="5"/>
      <c r="J17" s="5"/>
      <c r="K17" s="5"/>
      <c r="L17" s="5"/>
      <c r="M17" s="5"/>
      <c r="N17" s="5"/>
      <c r="O17" s="5"/>
      <c r="P17" s="5"/>
      <c r="Q17" s="5"/>
      <c r="R17" s="5"/>
      <c r="S17" s="5"/>
      <c r="T17" s="5"/>
      <c r="U17" s="5"/>
      <c r="V17" s="5"/>
      <c r="W17" s="5"/>
      <c r="X17" s="5"/>
      <c r="Y17" s="5"/>
      <c r="Z17" s="5"/>
    </row>
    <row r="18">
      <c r="A18" s="76"/>
      <c r="B18" s="5"/>
      <c r="C18" s="5"/>
      <c r="D18" s="5"/>
      <c r="E18" s="5"/>
      <c r="F18" s="5"/>
      <c r="G18" s="5"/>
      <c r="H18" s="5"/>
      <c r="I18" s="5"/>
      <c r="J18" s="5"/>
      <c r="K18" s="5"/>
      <c r="L18" s="5"/>
      <c r="M18" s="5"/>
      <c r="N18" s="5"/>
      <c r="O18" s="5"/>
      <c r="P18" s="5"/>
      <c r="Q18" s="5"/>
      <c r="R18" s="5"/>
      <c r="S18" s="5"/>
      <c r="T18" s="5"/>
      <c r="U18" s="5"/>
      <c r="V18" s="5"/>
      <c r="W18" s="5"/>
      <c r="X18" s="5"/>
      <c r="Y18" s="5"/>
      <c r="Z18" s="5"/>
    </row>
    <row r="19">
      <c r="A19" s="76"/>
      <c r="B19" s="5"/>
      <c r="C19" s="5"/>
      <c r="D19" s="5"/>
      <c r="E19" s="5"/>
      <c r="F19" s="5"/>
      <c r="G19" s="5"/>
      <c r="H19" s="5"/>
      <c r="I19" s="5"/>
      <c r="J19" s="5"/>
      <c r="K19" s="5"/>
      <c r="L19" s="5"/>
      <c r="M19" s="5"/>
      <c r="N19" s="5"/>
      <c r="O19" s="5"/>
      <c r="P19" s="5"/>
      <c r="Q19" s="5"/>
      <c r="R19" s="5"/>
      <c r="S19" s="5"/>
      <c r="T19" s="5"/>
      <c r="U19" s="5"/>
      <c r="V19" s="5"/>
      <c r="W19" s="5"/>
      <c r="X19" s="5"/>
      <c r="Y19" s="5"/>
      <c r="Z19" s="5"/>
    </row>
    <row r="20">
      <c r="A20" s="76"/>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76"/>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76"/>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76"/>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76"/>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76"/>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76"/>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76"/>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76"/>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76"/>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76"/>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76"/>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76"/>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76"/>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76"/>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76"/>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76"/>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76"/>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76"/>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76"/>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76"/>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76"/>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76"/>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76"/>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76"/>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76"/>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76"/>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76"/>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76"/>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76"/>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76"/>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76"/>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76"/>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76"/>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76"/>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76"/>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76"/>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76"/>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76"/>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76"/>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76"/>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76"/>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76"/>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76"/>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76"/>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76"/>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76"/>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76"/>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76"/>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76"/>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76"/>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76"/>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76"/>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76"/>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76"/>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76"/>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76"/>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76"/>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76"/>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76"/>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76"/>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76"/>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76"/>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76"/>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76"/>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76"/>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76"/>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76"/>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76"/>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76"/>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76"/>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76"/>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76"/>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76"/>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76"/>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76"/>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76"/>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76"/>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76"/>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76"/>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76"/>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76"/>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76"/>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76"/>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76"/>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76"/>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76"/>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76"/>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76"/>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76"/>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76"/>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76"/>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76"/>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76"/>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76"/>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76"/>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76"/>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76"/>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76"/>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76"/>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76"/>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76"/>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76"/>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76"/>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76"/>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76"/>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76"/>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76"/>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76"/>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76"/>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76"/>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76"/>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76"/>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76"/>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76"/>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76"/>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76"/>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76"/>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76"/>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76"/>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76"/>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76"/>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76"/>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76"/>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76"/>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76"/>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76"/>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76"/>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76"/>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76"/>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76"/>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76"/>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76"/>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76"/>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76"/>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76"/>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76"/>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76"/>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76"/>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76"/>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76"/>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76"/>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76"/>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76"/>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76"/>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76"/>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76"/>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76"/>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76"/>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76"/>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76"/>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76"/>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76"/>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76"/>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76"/>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76"/>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76"/>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76"/>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76"/>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76"/>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76"/>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76"/>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76"/>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76"/>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76"/>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76"/>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76"/>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76"/>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76"/>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76"/>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76"/>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76"/>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76"/>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76"/>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76"/>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76"/>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76"/>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76"/>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76"/>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76"/>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76"/>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76"/>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76"/>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76"/>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76"/>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76"/>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76"/>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76"/>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76"/>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76"/>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76"/>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76"/>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76"/>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76"/>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76"/>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76"/>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76"/>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76"/>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76"/>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76"/>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76"/>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76"/>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76"/>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76"/>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76"/>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76"/>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76"/>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76"/>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76"/>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76"/>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76"/>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76"/>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76"/>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76"/>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76"/>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76"/>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76"/>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76"/>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76"/>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76"/>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76"/>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76"/>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76"/>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76"/>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76"/>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76"/>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76"/>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76"/>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76"/>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76"/>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76"/>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76"/>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76"/>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76"/>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76"/>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76"/>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76"/>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76"/>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76"/>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76"/>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76"/>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76"/>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76"/>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76"/>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76"/>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76"/>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76"/>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76"/>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76"/>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76"/>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76"/>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76"/>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76"/>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76"/>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76"/>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76"/>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76"/>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76"/>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76"/>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76"/>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76"/>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76"/>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76"/>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76"/>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76"/>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76"/>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76"/>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76"/>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76"/>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76"/>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76"/>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76"/>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76"/>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76"/>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76"/>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76"/>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76"/>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76"/>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76"/>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76"/>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76"/>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76"/>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76"/>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76"/>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76"/>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76"/>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76"/>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76"/>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76"/>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76"/>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76"/>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76"/>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76"/>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76"/>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76"/>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76"/>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76"/>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76"/>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76"/>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76"/>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76"/>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76"/>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76"/>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76"/>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76"/>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76"/>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76"/>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76"/>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76"/>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76"/>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76"/>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76"/>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76"/>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76"/>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76"/>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76"/>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76"/>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76"/>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76"/>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76"/>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76"/>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76"/>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76"/>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76"/>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76"/>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76"/>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76"/>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76"/>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76"/>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76"/>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76"/>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76"/>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76"/>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76"/>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76"/>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76"/>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76"/>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76"/>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76"/>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76"/>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76"/>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76"/>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76"/>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76"/>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76"/>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76"/>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76"/>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76"/>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76"/>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76"/>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76"/>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76"/>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76"/>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76"/>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76"/>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76"/>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76"/>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76"/>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76"/>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76"/>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76"/>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76"/>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76"/>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76"/>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76"/>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76"/>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76"/>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76"/>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76"/>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76"/>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76"/>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76"/>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76"/>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76"/>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76"/>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76"/>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76"/>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76"/>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76"/>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76"/>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76"/>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76"/>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76"/>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76"/>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76"/>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76"/>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76"/>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76"/>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76"/>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76"/>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76"/>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76"/>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76"/>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76"/>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76"/>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76"/>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76"/>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76"/>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76"/>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76"/>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76"/>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76"/>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76"/>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76"/>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76"/>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76"/>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76"/>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76"/>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76"/>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76"/>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76"/>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76"/>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76"/>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76"/>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76"/>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76"/>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76"/>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76"/>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76"/>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76"/>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76"/>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76"/>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76"/>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76"/>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76"/>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76"/>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76"/>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76"/>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76"/>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76"/>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76"/>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76"/>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76"/>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76"/>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76"/>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76"/>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76"/>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76"/>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76"/>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76"/>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76"/>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76"/>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76"/>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76"/>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76"/>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76"/>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76"/>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76"/>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76"/>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76"/>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76"/>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76"/>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76"/>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76"/>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76"/>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76"/>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76"/>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76"/>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76"/>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76"/>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76"/>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76"/>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76"/>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76"/>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76"/>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76"/>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76"/>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76"/>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76"/>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76"/>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76"/>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76"/>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76"/>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76"/>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76"/>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76"/>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76"/>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76"/>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76"/>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76"/>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76"/>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76"/>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76"/>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76"/>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76"/>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76"/>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76"/>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76"/>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76"/>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76"/>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76"/>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76"/>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76"/>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76"/>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76"/>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76"/>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76"/>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76"/>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76"/>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76"/>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76"/>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76"/>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76"/>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76"/>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76"/>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76"/>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76"/>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76"/>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76"/>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76"/>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76"/>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76"/>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76"/>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76"/>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76"/>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76"/>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76"/>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76"/>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76"/>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76"/>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76"/>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76"/>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76"/>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76"/>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76"/>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76"/>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76"/>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76"/>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76"/>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76"/>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76"/>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76"/>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76"/>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76"/>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76"/>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76"/>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76"/>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76"/>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76"/>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76"/>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76"/>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76"/>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76"/>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76"/>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76"/>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76"/>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76"/>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76"/>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76"/>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76"/>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76"/>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76"/>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76"/>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76"/>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76"/>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76"/>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76"/>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76"/>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76"/>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76"/>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76"/>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76"/>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76"/>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76"/>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76"/>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76"/>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76"/>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76"/>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76"/>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76"/>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76"/>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76"/>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76"/>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76"/>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76"/>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76"/>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76"/>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76"/>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76"/>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76"/>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76"/>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76"/>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76"/>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76"/>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76"/>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76"/>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76"/>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76"/>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76"/>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76"/>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76"/>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76"/>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76"/>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76"/>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76"/>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76"/>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76"/>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76"/>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76"/>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76"/>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76"/>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76"/>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76"/>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76"/>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76"/>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76"/>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76"/>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76"/>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76"/>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76"/>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76"/>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76"/>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76"/>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76"/>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76"/>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76"/>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76"/>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76"/>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76"/>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76"/>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76"/>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76"/>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76"/>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76"/>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76"/>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76"/>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76"/>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76"/>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76"/>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76"/>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76"/>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76"/>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76"/>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76"/>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76"/>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76"/>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76"/>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76"/>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76"/>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76"/>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76"/>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76"/>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76"/>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76"/>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76"/>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76"/>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76"/>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76"/>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76"/>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76"/>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76"/>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76"/>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76"/>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76"/>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76"/>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76"/>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76"/>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76"/>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76"/>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76"/>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76"/>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76"/>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76"/>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76"/>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76"/>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76"/>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76"/>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76"/>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76"/>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76"/>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76"/>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76"/>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76"/>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76"/>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76"/>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76"/>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76"/>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76"/>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76"/>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76"/>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76"/>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76"/>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76"/>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76"/>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76"/>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76"/>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76"/>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76"/>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76"/>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76"/>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76"/>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76"/>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76"/>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76"/>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76"/>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76"/>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76"/>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76"/>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76"/>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76"/>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76"/>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76"/>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76"/>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76"/>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76"/>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76"/>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76"/>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76"/>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76"/>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76"/>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76"/>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76"/>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76"/>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76"/>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76"/>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76"/>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76"/>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76"/>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76"/>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76"/>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76"/>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76"/>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76"/>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76"/>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76"/>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76"/>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76"/>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76"/>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76"/>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76"/>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76"/>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76"/>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76"/>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76"/>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76"/>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76"/>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76"/>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76"/>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76"/>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76"/>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76"/>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76"/>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76"/>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76"/>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76"/>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76"/>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76"/>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76"/>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76"/>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76"/>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76"/>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76"/>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76"/>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76"/>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76"/>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76"/>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76"/>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76"/>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76"/>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76"/>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76"/>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76"/>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76"/>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76"/>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76"/>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76"/>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76"/>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76"/>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76"/>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76"/>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76"/>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76"/>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76"/>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76"/>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76"/>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76"/>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76"/>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76"/>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76"/>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76"/>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76"/>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76"/>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76"/>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76"/>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76"/>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76"/>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76"/>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76"/>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76"/>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76"/>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76"/>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76"/>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76"/>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76"/>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76"/>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76"/>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76"/>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76"/>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76"/>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76"/>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76"/>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76"/>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76"/>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76"/>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76"/>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76"/>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76"/>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76"/>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76"/>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76"/>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76"/>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76"/>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76"/>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76"/>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76"/>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76"/>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76"/>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76"/>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76"/>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76"/>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76"/>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76"/>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76"/>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76"/>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76"/>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76"/>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76"/>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76"/>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76"/>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76"/>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76"/>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76"/>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76"/>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76"/>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76"/>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76"/>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76"/>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76"/>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76"/>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76"/>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76"/>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76"/>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76"/>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76"/>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76"/>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76"/>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76"/>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76"/>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76"/>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76"/>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76"/>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76"/>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76"/>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76"/>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76"/>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76"/>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76"/>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76"/>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76"/>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76"/>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76"/>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76"/>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76"/>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76"/>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76"/>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76"/>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76"/>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76"/>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76"/>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76"/>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76"/>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76"/>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76"/>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76"/>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76"/>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76"/>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76"/>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76"/>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76"/>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76"/>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76"/>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76"/>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76"/>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76"/>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76"/>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76"/>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76"/>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76"/>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76"/>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76"/>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76"/>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76"/>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76"/>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76"/>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76"/>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76"/>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76"/>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76"/>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76"/>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76"/>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76"/>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76"/>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76"/>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76"/>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76"/>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76"/>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76"/>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76"/>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76"/>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76"/>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76"/>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76"/>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76"/>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76"/>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76"/>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76"/>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76"/>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76"/>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76"/>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76"/>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76"/>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76"/>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76"/>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76"/>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76"/>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76"/>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76"/>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76"/>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76"/>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76"/>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76"/>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76"/>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76"/>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76"/>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76"/>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76"/>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76"/>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76"/>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76"/>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76"/>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76"/>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76"/>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76"/>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76"/>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76"/>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76"/>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76"/>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76"/>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76"/>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76"/>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76"/>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76"/>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76"/>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76"/>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76"/>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76"/>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76"/>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76"/>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76"/>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76"/>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76"/>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76"/>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76"/>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76"/>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76"/>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76"/>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76"/>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76"/>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76"/>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76"/>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76"/>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76"/>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76"/>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76"/>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76"/>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76"/>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76"/>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76"/>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76"/>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76"/>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76"/>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
    <mergeCell ref="B2:E4"/>
    <mergeCell ref="F2:H2"/>
    <mergeCell ref="B5:C9"/>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8.0"/>
    <col customWidth="1" min="3" max="3" width="15.71"/>
    <col customWidth="1" min="4" max="4" width="18.0"/>
    <col customWidth="1" min="5" max="5" width="8.71"/>
    <col customWidth="1" min="6" max="6" width="11.29"/>
    <col customWidth="1" min="7" max="7" width="12.43"/>
    <col customWidth="1" min="8" max="8" width="14.71"/>
    <col customWidth="1" min="9" max="26" width="8.71"/>
  </cols>
  <sheetData>
    <row r="1">
      <c r="A1" s="2"/>
      <c r="B1" s="4"/>
      <c r="C1" s="4"/>
      <c r="D1" s="4"/>
    </row>
    <row r="2" ht="15.0" customHeight="1">
      <c r="A2" s="2"/>
      <c r="B2" s="8" t="s">
        <v>1</v>
      </c>
      <c r="C2" s="9"/>
      <c r="D2" s="9"/>
      <c r="E2" s="10"/>
      <c r="F2" s="11" t="s">
        <v>8</v>
      </c>
      <c r="G2" s="13"/>
      <c r="H2" s="15"/>
    </row>
    <row r="3" ht="31.5" customHeight="1">
      <c r="A3" s="2"/>
      <c r="B3" s="16"/>
      <c r="E3" s="17"/>
      <c r="F3" s="18" t="s">
        <v>11</v>
      </c>
      <c r="G3" s="19" t="s">
        <v>12</v>
      </c>
      <c r="H3" s="20" t="s">
        <v>13</v>
      </c>
    </row>
    <row r="4" ht="20.25" customHeight="1">
      <c r="A4" s="2"/>
      <c r="B4" s="21"/>
      <c r="C4" s="22"/>
      <c r="D4" s="22"/>
      <c r="E4" s="23"/>
      <c r="F4" s="25">
        <v>0.5</v>
      </c>
      <c r="G4" s="25">
        <v>0.5</v>
      </c>
      <c r="H4" s="26">
        <v>0.0</v>
      </c>
    </row>
    <row r="5" ht="15.0" customHeight="1">
      <c r="A5" s="2"/>
      <c r="B5" s="29" t="s">
        <v>16</v>
      </c>
      <c r="C5" s="31"/>
      <c r="D5" s="32" t="s">
        <v>18</v>
      </c>
      <c r="E5" s="33">
        <v>1.0</v>
      </c>
      <c r="F5" s="34">
        <f t="shared" ref="F5:F9" si="1">E5*$F$4</f>
        <v>0.5</v>
      </c>
      <c r="G5" s="36">
        <f t="shared" ref="G5:G9" si="2">E5*$G$4</f>
        <v>0.5</v>
      </c>
      <c r="H5" s="38">
        <f t="shared" ref="H5:H9" si="3">E5*$H$4</f>
        <v>0</v>
      </c>
    </row>
    <row r="6">
      <c r="A6" s="2"/>
      <c r="B6" s="16"/>
      <c r="C6" s="40"/>
      <c r="D6" s="41" t="s">
        <v>22</v>
      </c>
      <c r="E6" s="43">
        <v>0.5</v>
      </c>
      <c r="F6" s="45">
        <f t="shared" si="1"/>
        <v>0.25</v>
      </c>
      <c r="G6" s="47">
        <f t="shared" si="2"/>
        <v>0.25</v>
      </c>
      <c r="H6" s="38">
        <f t="shared" si="3"/>
        <v>0</v>
      </c>
    </row>
    <row r="7">
      <c r="A7" s="2"/>
      <c r="B7" s="16"/>
      <c r="C7" s="40"/>
      <c r="D7" s="41" t="s">
        <v>24</v>
      </c>
      <c r="E7" s="43">
        <v>0.0</v>
      </c>
      <c r="F7" s="49">
        <f t="shared" si="1"/>
        <v>0</v>
      </c>
      <c r="G7" s="50">
        <f t="shared" si="2"/>
        <v>0</v>
      </c>
      <c r="H7" s="38">
        <f t="shared" si="3"/>
        <v>0</v>
      </c>
    </row>
    <row r="8">
      <c r="A8" s="2"/>
      <c r="B8" s="16"/>
      <c r="C8" s="40"/>
      <c r="D8" s="41" t="s">
        <v>26</v>
      </c>
      <c r="E8" s="43">
        <v>0.0</v>
      </c>
      <c r="F8" s="49">
        <f t="shared" si="1"/>
        <v>0</v>
      </c>
      <c r="G8" s="50">
        <f t="shared" si="2"/>
        <v>0</v>
      </c>
      <c r="H8" s="38">
        <f t="shared" si="3"/>
        <v>0</v>
      </c>
    </row>
    <row r="9">
      <c r="A9" s="2"/>
      <c r="B9" s="21"/>
      <c r="C9" s="55"/>
      <c r="D9" s="57" t="s">
        <v>28</v>
      </c>
      <c r="E9" s="59">
        <v>0.0</v>
      </c>
      <c r="F9" s="60">
        <f t="shared" si="1"/>
        <v>0</v>
      </c>
      <c r="G9" s="61">
        <f t="shared" si="2"/>
        <v>0</v>
      </c>
      <c r="H9" s="62">
        <f t="shared" si="3"/>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5.57"/>
    <col customWidth="1" min="3" max="3" width="0.14"/>
    <col customWidth="1" min="4" max="4" width="16.86"/>
    <col customWidth="1" min="5" max="5" width="5.43"/>
    <col customWidth="1" min="6" max="6" width="14.0"/>
    <col customWidth="1" min="7" max="7" width="11.86"/>
    <col customWidth="1" min="8" max="8" width="15.0"/>
    <col customWidth="1" min="9" max="26" width="8.71"/>
  </cols>
  <sheetData>
    <row r="1">
      <c r="A1" s="2"/>
      <c r="B1" s="4"/>
      <c r="C1" s="4"/>
      <c r="D1" s="4"/>
    </row>
    <row r="2" ht="15.0" customHeight="1">
      <c r="A2" s="2"/>
      <c r="B2" s="8" t="s">
        <v>3</v>
      </c>
      <c r="C2" s="9"/>
      <c r="D2" s="9"/>
      <c r="E2" s="10"/>
      <c r="F2" s="11" t="s">
        <v>8</v>
      </c>
      <c r="G2" s="13"/>
      <c r="H2" s="15"/>
    </row>
    <row r="3" ht="18.0" customHeight="1">
      <c r="A3" s="2"/>
      <c r="B3" s="16"/>
      <c r="E3" s="17"/>
      <c r="F3" s="18" t="s">
        <v>11</v>
      </c>
      <c r="G3" s="19" t="s">
        <v>12</v>
      </c>
      <c r="H3" s="20" t="s">
        <v>13</v>
      </c>
    </row>
    <row r="4" ht="15.0" customHeight="1">
      <c r="A4" s="2"/>
      <c r="B4" s="21"/>
      <c r="C4" s="22"/>
      <c r="D4" s="22"/>
      <c r="E4" s="23"/>
      <c r="F4" s="25">
        <v>1.0</v>
      </c>
      <c r="G4" s="25">
        <v>0.5</v>
      </c>
      <c r="H4" s="26">
        <v>0.5</v>
      </c>
    </row>
    <row r="5" ht="15.0" customHeight="1">
      <c r="A5" s="2"/>
      <c r="B5" s="29" t="s">
        <v>16</v>
      </c>
      <c r="C5" s="31"/>
      <c r="D5" s="32" t="s">
        <v>18</v>
      </c>
      <c r="E5" s="33">
        <v>1.0</v>
      </c>
      <c r="F5" s="35">
        <f t="shared" ref="F5:F9" si="1">E5*$F$4</f>
        <v>1</v>
      </c>
      <c r="G5" s="39">
        <f t="shared" ref="G5:G9" si="2">E5*$G$4</f>
        <v>0.5</v>
      </c>
      <c r="H5" s="44">
        <f t="shared" ref="H5:H9" si="3">E5*$H$4</f>
        <v>0.5</v>
      </c>
    </row>
    <row r="6">
      <c r="A6" s="2"/>
      <c r="B6" s="16"/>
      <c r="C6" s="40"/>
      <c r="D6" s="41" t="s">
        <v>22</v>
      </c>
      <c r="E6" s="43">
        <v>0.5</v>
      </c>
      <c r="F6" s="48">
        <f t="shared" si="1"/>
        <v>0.5</v>
      </c>
      <c r="G6" s="47">
        <f t="shared" si="2"/>
        <v>0.25</v>
      </c>
      <c r="H6" s="51">
        <f t="shared" si="3"/>
        <v>0.25</v>
      </c>
    </row>
    <row r="7">
      <c r="A7" s="2"/>
      <c r="B7" s="16"/>
      <c r="C7" s="40"/>
      <c r="D7" s="41" t="s">
        <v>24</v>
      </c>
      <c r="E7" s="43">
        <v>0.0</v>
      </c>
      <c r="F7" s="54">
        <f t="shared" si="1"/>
        <v>0</v>
      </c>
      <c r="G7" s="50">
        <f t="shared" si="2"/>
        <v>0</v>
      </c>
      <c r="H7" s="38">
        <f t="shared" si="3"/>
        <v>0</v>
      </c>
    </row>
    <row r="8">
      <c r="A8" s="2"/>
      <c r="B8" s="16"/>
      <c r="C8" s="40"/>
      <c r="D8" s="41" t="s">
        <v>26</v>
      </c>
      <c r="E8" s="43">
        <v>0.0</v>
      </c>
      <c r="F8" s="54">
        <f t="shared" si="1"/>
        <v>0</v>
      </c>
      <c r="G8" s="50">
        <f t="shared" si="2"/>
        <v>0</v>
      </c>
      <c r="H8" s="38">
        <f t="shared" si="3"/>
        <v>0</v>
      </c>
    </row>
    <row r="9">
      <c r="A9" s="2"/>
      <c r="B9" s="21"/>
      <c r="C9" s="55"/>
      <c r="D9" s="57" t="s">
        <v>28</v>
      </c>
      <c r="E9" s="59">
        <v>0.0</v>
      </c>
      <c r="F9" s="67">
        <f t="shared" si="1"/>
        <v>0</v>
      </c>
      <c r="G9" s="61">
        <f t="shared" si="2"/>
        <v>0</v>
      </c>
      <c r="H9" s="62">
        <f t="shared" si="3"/>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8.0"/>
    <col customWidth="1" min="3" max="3" width="15.71"/>
    <col customWidth="1" min="4" max="4" width="18.0"/>
    <col customWidth="1" min="5" max="5" width="8.71"/>
    <col customWidth="1" min="6" max="6" width="11.29"/>
    <col customWidth="1" min="7" max="7" width="13.71"/>
    <col customWidth="1" min="8" max="8" width="14.71"/>
    <col customWidth="1" min="9" max="26" width="8.71"/>
  </cols>
  <sheetData>
    <row r="1">
      <c r="A1" s="2"/>
      <c r="B1" s="4"/>
      <c r="C1" s="4"/>
      <c r="D1" s="4"/>
    </row>
    <row r="2" ht="15.0" customHeight="1">
      <c r="A2" s="2"/>
      <c r="B2" s="8" t="s">
        <v>55</v>
      </c>
      <c r="C2" s="9"/>
      <c r="D2" s="9"/>
      <c r="E2" s="10"/>
      <c r="F2" s="11" t="s">
        <v>8</v>
      </c>
      <c r="G2" s="13"/>
      <c r="H2" s="15"/>
    </row>
    <row r="3" ht="18.0" customHeight="1">
      <c r="A3" s="2"/>
      <c r="B3" s="16"/>
      <c r="E3" s="17"/>
      <c r="F3" s="18" t="s">
        <v>11</v>
      </c>
      <c r="G3" s="19" t="s">
        <v>12</v>
      </c>
      <c r="H3" s="20" t="s">
        <v>13</v>
      </c>
    </row>
    <row r="4" ht="15.0" customHeight="1">
      <c r="A4" s="2"/>
      <c r="B4" s="21"/>
      <c r="C4" s="22"/>
      <c r="D4" s="22"/>
      <c r="E4" s="23"/>
      <c r="F4" s="27">
        <v>0.5</v>
      </c>
      <c r="G4" s="27">
        <v>0.5</v>
      </c>
      <c r="H4" s="30">
        <v>0.0</v>
      </c>
    </row>
    <row r="5" ht="15.0" customHeight="1">
      <c r="A5" s="2"/>
      <c r="B5" s="29" t="s">
        <v>16</v>
      </c>
      <c r="C5" s="31"/>
      <c r="D5" s="32" t="s">
        <v>18</v>
      </c>
      <c r="E5" s="33">
        <v>1.0</v>
      </c>
      <c r="F5" s="84">
        <f>E5*F4</f>
        <v>0.5</v>
      </c>
      <c r="G5" s="85">
        <f t="shared" ref="G5:G9" si="1">E5*$G$4</f>
        <v>0.5</v>
      </c>
      <c r="H5" s="86">
        <f t="shared" ref="H5:H9" si="2">E5*$H$4</f>
        <v>0</v>
      </c>
    </row>
    <row r="6">
      <c r="A6" s="2"/>
      <c r="B6" s="16"/>
      <c r="C6" s="40"/>
      <c r="D6" s="41" t="s">
        <v>22</v>
      </c>
      <c r="E6" s="43">
        <v>0.5</v>
      </c>
      <c r="F6" s="87">
        <f t="shared" ref="F6:F9" si="3">E6*$F$4</f>
        <v>0.25</v>
      </c>
      <c r="G6" s="56">
        <f t="shared" si="1"/>
        <v>0.25</v>
      </c>
      <c r="H6" s="66">
        <f t="shared" si="2"/>
        <v>0</v>
      </c>
    </row>
    <row r="7">
      <c r="A7" s="2"/>
      <c r="B7" s="16"/>
      <c r="C7" s="40"/>
      <c r="D7" s="41" t="s">
        <v>24</v>
      </c>
      <c r="E7" s="43">
        <v>0.0</v>
      </c>
      <c r="F7" s="88">
        <f t="shared" si="3"/>
        <v>0</v>
      </c>
      <c r="G7" s="65">
        <f t="shared" si="1"/>
        <v>0</v>
      </c>
      <c r="H7" s="66">
        <f t="shared" si="2"/>
        <v>0</v>
      </c>
    </row>
    <row r="8">
      <c r="A8" s="2"/>
      <c r="B8" s="16"/>
      <c r="C8" s="40"/>
      <c r="D8" s="41" t="s">
        <v>26</v>
      </c>
      <c r="E8" s="43">
        <v>0.0</v>
      </c>
      <c r="F8" s="88">
        <f t="shared" si="3"/>
        <v>0</v>
      </c>
      <c r="G8" s="65">
        <f t="shared" si="1"/>
        <v>0</v>
      </c>
      <c r="H8" s="66">
        <f t="shared" si="2"/>
        <v>0</v>
      </c>
    </row>
    <row r="9">
      <c r="A9" s="2"/>
      <c r="B9" s="21"/>
      <c r="C9" s="55"/>
      <c r="D9" s="57" t="s">
        <v>28</v>
      </c>
      <c r="E9" s="59">
        <v>0.0</v>
      </c>
      <c r="F9" s="89">
        <f t="shared" si="3"/>
        <v>0</v>
      </c>
      <c r="G9" s="72">
        <f t="shared" si="1"/>
        <v>0</v>
      </c>
      <c r="H9" s="73">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7.29"/>
  </cols>
  <sheetData>
    <row r="1">
      <c r="A1" s="2"/>
      <c r="B1" s="4" t="s">
        <v>56</v>
      </c>
      <c r="C1" s="4"/>
      <c r="D1" s="4"/>
    </row>
    <row r="2" ht="15.0" customHeight="1">
      <c r="A2" s="2"/>
      <c r="B2" s="8" t="s">
        <v>57</v>
      </c>
      <c r="C2" s="9"/>
      <c r="D2" s="9"/>
      <c r="E2" s="10"/>
      <c r="F2" s="11" t="s">
        <v>8</v>
      </c>
      <c r="G2" s="13"/>
      <c r="H2" s="15"/>
    </row>
    <row r="3" ht="17.25" customHeight="1">
      <c r="A3" s="2"/>
      <c r="B3" s="16"/>
      <c r="E3" s="17"/>
      <c r="F3" s="18" t="s">
        <v>11</v>
      </c>
      <c r="G3" s="19" t="s">
        <v>12</v>
      </c>
      <c r="H3" s="20" t="s">
        <v>13</v>
      </c>
    </row>
    <row r="4" ht="20.25" customHeight="1">
      <c r="A4" s="2"/>
      <c r="B4" s="21"/>
      <c r="C4" s="22"/>
      <c r="D4" s="22"/>
      <c r="E4" s="23"/>
      <c r="F4" s="90">
        <v>1.0</v>
      </c>
      <c r="G4" s="90">
        <v>0.5</v>
      </c>
      <c r="H4" s="91">
        <v>0.5</v>
      </c>
    </row>
    <row r="5" ht="15.0" customHeight="1">
      <c r="A5" s="2"/>
      <c r="B5" s="29" t="s">
        <v>16</v>
      </c>
      <c r="C5" s="31"/>
      <c r="D5" s="32" t="s">
        <v>18</v>
      </c>
      <c r="E5" s="92">
        <v>1.0</v>
      </c>
      <c r="F5" s="93">
        <f>E5*F4</f>
        <v>1</v>
      </c>
      <c r="G5" s="94">
        <f t="shared" ref="G5:G9" si="1">E5*$G$4</f>
        <v>0.5</v>
      </c>
      <c r="H5" s="94">
        <f t="shared" ref="H5:H9" si="2">E5*$H$4</f>
        <v>0.5</v>
      </c>
    </row>
    <row r="6">
      <c r="A6" s="2"/>
      <c r="B6" s="16"/>
      <c r="C6" s="40"/>
      <c r="D6" s="41" t="s">
        <v>22</v>
      </c>
      <c r="E6" s="95">
        <v>0.5</v>
      </c>
      <c r="F6" s="94">
        <f t="shared" ref="F6:F9" si="3">E6*$F$4</f>
        <v>0.5</v>
      </c>
      <c r="G6" s="47">
        <f t="shared" si="1"/>
        <v>0.25</v>
      </c>
      <c r="H6" s="47">
        <f t="shared" si="2"/>
        <v>0.25</v>
      </c>
    </row>
    <row r="7">
      <c r="A7" s="2"/>
      <c r="B7" s="16"/>
      <c r="C7" s="40"/>
      <c r="D7" s="41" t="s">
        <v>24</v>
      </c>
      <c r="E7" s="95">
        <v>0.0</v>
      </c>
      <c r="F7" s="50">
        <f t="shared" si="3"/>
        <v>0</v>
      </c>
      <c r="G7" s="50">
        <f t="shared" si="1"/>
        <v>0</v>
      </c>
      <c r="H7" s="50">
        <f t="shared" si="2"/>
        <v>0</v>
      </c>
    </row>
    <row r="8">
      <c r="A8" s="2"/>
      <c r="B8" s="16"/>
      <c r="C8" s="40"/>
      <c r="D8" s="41" t="s">
        <v>26</v>
      </c>
      <c r="E8" s="95">
        <v>0.0</v>
      </c>
      <c r="F8" s="50">
        <f t="shared" si="3"/>
        <v>0</v>
      </c>
      <c r="G8" s="50">
        <f t="shared" si="1"/>
        <v>0</v>
      </c>
      <c r="H8" s="50">
        <f t="shared" si="2"/>
        <v>0</v>
      </c>
    </row>
    <row r="9">
      <c r="A9" s="2"/>
      <c r="B9" s="21"/>
      <c r="C9" s="55"/>
      <c r="D9" s="57" t="s">
        <v>28</v>
      </c>
      <c r="E9" s="96">
        <v>0.0</v>
      </c>
      <c r="F9" s="50">
        <f t="shared" si="3"/>
        <v>0</v>
      </c>
      <c r="G9" s="50">
        <f t="shared" si="1"/>
        <v>0</v>
      </c>
      <c r="H9" s="50">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5.86"/>
    <col customWidth="1" min="4" max="4" width="7.57"/>
    <col customWidth="1" min="5" max="5" width="7.86"/>
    <col customWidth="1" min="6" max="6" width="6.86"/>
    <col customWidth="1" min="7" max="7" width="7.14"/>
    <col customWidth="1" min="8" max="8" width="7.86"/>
    <col customWidth="1" min="9" max="26" width="8.71"/>
  </cols>
  <sheetData>
    <row r="3">
      <c r="B3" s="97"/>
      <c r="C3" s="98"/>
      <c r="D3" s="99" t="s">
        <v>58</v>
      </c>
      <c r="E3" s="99" t="s">
        <v>59</v>
      </c>
      <c r="F3" s="99" t="s">
        <v>60</v>
      </c>
      <c r="G3" s="99" t="s">
        <v>61</v>
      </c>
      <c r="H3" s="99" t="s">
        <v>62</v>
      </c>
    </row>
    <row r="4">
      <c r="B4" s="100" t="s">
        <v>63</v>
      </c>
      <c r="C4" s="101"/>
      <c r="D4" s="102">
        <v>1.0</v>
      </c>
      <c r="E4" s="103">
        <v>1.0</v>
      </c>
      <c r="F4" s="103">
        <v>1.0</v>
      </c>
      <c r="G4" s="103">
        <v>1.0</v>
      </c>
      <c r="H4" s="103">
        <v>1.0</v>
      </c>
    </row>
    <row r="5">
      <c r="B5" s="100" t="s">
        <v>64</v>
      </c>
      <c r="C5" s="101"/>
      <c r="D5" s="102">
        <v>1.0</v>
      </c>
      <c r="E5" s="103">
        <v>1.0</v>
      </c>
      <c r="F5" s="103">
        <v>1.0</v>
      </c>
      <c r="G5" s="103">
        <v>1.0</v>
      </c>
      <c r="H5" s="103">
        <v>1.0</v>
      </c>
    </row>
    <row r="6">
      <c r="B6" s="100" t="s">
        <v>65</v>
      </c>
      <c r="C6" s="101"/>
      <c r="D6" s="102">
        <v>0.5</v>
      </c>
      <c r="E6" s="103">
        <v>1.0</v>
      </c>
      <c r="F6" s="103">
        <v>1.0</v>
      </c>
      <c r="G6" s="103">
        <v>0.5</v>
      </c>
      <c r="H6" s="103">
        <v>1.0</v>
      </c>
    </row>
    <row r="7">
      <c r="B7" s="100" t="s">
        <v>66</v>
      </c>
      <c r="C7" s="101"/>
      <c r="D7" s="102">
        <v>1.0</v>
      </c>
      <c r="E7" s="103">
        <v>1.0</v>
      </c>
      <c r="F7" s="103">
        <v>1.0</v>
      </c>
      <c r="G7" s="103">
        <v>1.0</v>
      </c>
      <c r="H7" s="103">
        <v>1.0</v>
      </c>
    </row>
    <row r="8">
      <c r="B8" s="104" t="s">
        <v>67</v>
      </c>
      <c r="C8" s="105"/>
      <c r="D8" s="106">
        <f t="shared" ref="D8:H8" si="1">SUM(D4:D7)</f>
        <v>3.5</v>
      </c>
      <c r="E8" s="106">
        <f t="shared" si="1"/>
        <v>4</v>
      </c>
      <c r="F8" s="106">
        <f t="shared" si="1"/>
        <v>4</v>
      </c>
      <c r="G8" s="106">
        <f t="shared" si="1"/>
        <v>3.5</v>
      </c>
      <c r="H8" s="106">
        <f t="shared" si="1"/>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C3"/>
    <mergeCell ref="B4:C4"/>
    <mergeCell ref="B5:C5"/>
    <mergeCell ref="B6:C6"/>
    <mergeCell ref="B7:C7"/>
    <mergeCell ref="B8:C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8.0"/>
    <col customWidth="1" min="3" max="3" width="3.0"/>
    <col customWidth="1" min="4" max="4" width="17.57"/>
    <col customWidth="1" min="5" max="5" width="5.71"/>
    <col customWidth="1" min="6" max="6" width="12.57"/>
    <col customWidth="1" min="7" max="8" width="14.29"/>
    <col customWidth="1" min="9" max="26" width="8.71"/>
  </cols>
  <sheetData>
    <row r="1">
      <c r="A1" s="2"/>
      <c r="B1" s="4"/>
      <c r="C1" s="4"/>
      <c r="D1" s="4"/>
      <c r="E1" s="14"/>
      <c r="F1" s="14"/>
      <c r="G1" s="14"/>
      <c r="H1" s="14"/>
      <c r="I1" s="14"/>
      <c r="J1" s="14"/>
      <c r="K1" s="14"/>
      <c r="L1" s="14"/>
      <c r="M1" s="14"/>
      <c r="N1" s="14"/>
      <c r="O1" s="14"/>
      <c r="P1" s="14"/>
      <c r="Q1" s="14"/>
      <c r="R1" s="14"/>
      <c r="S1" s="14"/>
      <c r="T1" s="14"/>
      <c r="U1" s="14"/>
      <c r="V1" s="14"/>
      <c r="W1" s="14"/>
      <c r="X1" s="14"/>
      <c r="Y1" s="14"/>
      <c r="Z1" s="14"/>
    </row>
    <row r="2" ht="15.0" customHeight="1">
      <c r="A2" s="2"/>
      <c r="B2" s="107" t="s">
        <v>68</v>
      </c>
      <c r="C2" s="9"/>
      <c r="D2" s="9"/>
      <c r="E2" s="10"/>
      <c r="F2" s="11" t="s">
        <v>8</v>
      </c>
      <c r="G2" s="13"/>
      <c r="H2" s="15"/>
      <c r="I2" s="14"/>
      <c r="J2" s="14"/>
      <c r="K2" s="14"/>
      <c r="L2" s="14"/>
      <c r="M2" s="14"/>
      <c r="N2" s="14"/>
      <c r="O2" s="14"/>
      <c r="P2" s="14"/>
      <c r="Q2" s="14"/>
      <c r="R2" s="14"/>
      <c r="S2" s="14"/>
      <c r="T2" s="14"/>
      <c r="U2" s="14"/>
      <c r="V2" s="14"/>
      <c r="W2" s="14"/>
      <c r="X2" s="14"/>
      <c r="Y2" s="14"/>
      <c r="Z2" s="14"/>
    </row>
    <row r="3" ht="28.5" customHeight="1">
      <c r="A3" s="2"/>
      <c r="B3" s="16"/>
      <c r="E3" s="17"/>
      <c r="F3" s="18" t="s">
        <v>11</v>
      </c>
      <c r="G3" s="19" t="s">
        <v>12</v>
      </c>
      <c r="H3" s="20" t="s">
        <v>13</v>
      </c>
      <c r="I3" s="14"/>
      <c r="J3" s="14"/>
      <c r="K3" s="14"/>
      <c r="L3" s="14"/>
      <c r="M3" s="14"/>
      <c r="N3" s="14"/>
      <c r="O3" s="14"/>
      <c r="P3" s="14"/>
      <c r="Q3" s="14"/>
      <c r="R3" s="14"/>
      <c r="S3" s="14"/>
      <c r="T3" s="14"/>
      <c r="U3" s="14"/>
      <c r="V3" s="14"/>
      <c r="W3" s="14"/>
      <c r="X3" s="14"/>
      <c r="Y3" s="14"/>
      <c r="Z3" s="14"/>
    </row>
    <row r="4" ht="13.5" customHeight="1">
      <c r="A4" s="2"/>
      <c r="B4" s="21"/>
      <c r="C4" s="22"/>
      <c r="D4" s="22"/>
      <c r="E4" s="23"/>
      <c r="F4" s="25">
        <v>0.5</v>
      </c>
      <c r="G4" s="25">
        <v>0.5</v>
      </c>
      <c r="H4" s="26">
        <v>0.5</v>
      </c>
      <c r="I4" s="14"/>
      <c r="J4" s="14"/>
      <c r="K4" s="14"/>
      <c r="L4" s="14"/>
      <c r="M4" s="14"/>
      <c r="N4" s="14"/>
      <c r="O4" s="14"/>
      <c r="P4" s="14"/>
      <c r="Q4" s="14"/>
      <c r="R4" s="14"/>
      <c r="S4" s="14"/>
      <c r="T4" s="14"/>
      <c r="U4" s="14"/>
      <c r="V4" s="14"/>
      <c r="W4" s="14"/>
      <c r="X4" s="14"/>
      <c r="Y4" s="14"/>
      <c r="Z4" s="14"/>
    </row>
    <row r="5" ht="15.0" customHeight="1">
      <c r="A5" s="2"/>
      <c r="B5" s="29" t="s">
        <v>16</v>
      </c>
      <c r="C5" s="31"/>
      <c r="D5" s="32" t="s">
        <v>18</v>
      </c>
      <c r="E5" s="33">
        <v>1.0</v>
      </c>
      <c r="F5" s="108">
        <f>E5*F4</f>
        <v>0.5</v>
      </c>
      <c r="G5" s="39">
        <f t="shared" ref="G5:G9" si="1">E5*$G$4</f>
        <v>0.5</v>
      </c>
      <c r="H5" s="44">
        <f t="shared" ref="H5:H9" si="2">E5*$H$4</f>
        <v>0.5</v>
      </c>
      <c r="I5" s="14"/>
      <c r="J5" s="14"/>
      <c r="K5" s="14"/>
      <c r="L5" s="14"/>
      <c r="M5" s="14"/>
      <c r="N5" s="14"/>
      <c r="O5" s="14"/>
      <c r="P5" s="14"/>
      <c r="Q5" s="14"/>
      <c r="R5" s="14"/>
      <c r="S5" s="14"/>
      <c r="T5" s="14"/>
      <c r="U5" s="14"/>
      <c r="V5" s="14"/>
      <c r="W5" s="14"/>
      <c r="X5" s="14"/>
      <c r="Y5" s="14"/>
      <c r="Z5" s="14"/>
    </row>
    <row r="6">
      <c r="A6" s="2"/>
      <c r="B6" s="16"/>
      <c r="C6" s="40"/>
      <c r="D6" s="41" t="s">
        <v>22</v>
      </c>
      <c r="E6" s="43">
        <v>0.5</v>
      </c>
      <c r="F6" s="109">
        <f t="shared" ref="F6:F9" si="3">E6*$F$4</f>
        <v>0.25</v>
      </c>
      <c r="G6" s="47">
        <f t="shared" si="1"/>
        <v>0.25</v>
      </c>
      <c r="H6" s="51">
        <f t="shared" si="2"/>
        <v>0.25</v>
      </c>
      <c r="I6" s="14"/>
      <c r="J6" s="14"/>
      <c r="K6" s="14"/>
      <c r="L6" s="14"/>
      <c r="M6" s="14"/>
      <c r="N6" s="14"/>
      <c r="O6" s="14"/>
      <c r="P6" s="14"/>
      <c r="Q6" s="14"/>
      <c r="R6" s="14"/>
      <c r="S6" s="14"/>
      <c r="T6" s="14"/>
      <c r="U6" s="14"/>
      <c r="V6" s="14"/>
      <c r="W6" s="14"/>
      <c r="X6" s="14"/>
      <c r="Y6" s="14"/>
      <c r="Z6" s="14"/>
    </row>
    <row r="7">
      <c r="A7" s="2"/>
      <c r="B7" s="16"/>
      <c r="C7" s="40"/>
      <c r="D7" s="41" t="s">
        <v>24</v>
      </c>
      <c r="E7" s="43">
        <v>0.5</v>
      </c>
      <c r="F7" s="110">
        <f t="shared" si="3"/>
        <v>0.25</v>
      </c>
      <c r="G7" s="47">
        <f t="shared" si="1"/>
        <v>0.25</v>
      </c>
      <c r="H7" s="51">
        <f t="shared" si="2"/>
        <v>0.25</v>
      </c>
      <c r="I7" s="14"/>
      <c r="J7" s="14"/>
      <c r="K7" s="14"/>
      <c r="L7" s="14"/>
      <c r="M7" s="14"/>
      <c r="N7" s="14"/>
      <c r="O7" s="14"/>
      <c r="P7" s="14"/>
      <c r="Q7" s="14"/>
      <c r="R7" s="14"/>
      <c r="S7" s="14"/>
      <c r="T7" s="14"/>
      <c r="U7" s="14"/>
      <c r="V7" s="14"/>
      <c r="W7" s="14"/>
      <c r="X7" s="14"/>
      <c r="Y7" s="14"/>
      <c r="Z7" s="14"/>
    </row>
    <row r="8">
      <c r="A8" s="2"/>
      <c r="B8" s="16"/>
      <c r="C8" s="40"/>
      <c r="D8" s="41" t="s">
        <v>26</v>
      </c>
      <c r="E8" s="43">
        <v>0.0</v>
      </c>
      <c r="F8" s="54">
        <f t="shared" si="3"/>
        <v>0</v>
      </c>
      <c r="G8" s="50">
        <f t="shared" si="1"/>
        <v>0</v>
      </c>
      <c r="H8" s="38">
        <f t="shared" si="2"/>
        <v>0</v>
      </c>
      <c r="I8" s="14"/>
      <c r="J8" s="14"/>
      <c r="K8" s="14"/>
      <c r="L8" s="14"/>
      <c r="M8" s="14"/>
      <c r="N8" s="14"/>
      <c r="O8" s="14"/>
      <c r="P8" s="14"/>
      <c r="Q8" s="14"/>
      <c r="R8" s="14"/>
      <c r="S8" s="14"/>
      <c r="T8" s="14"/>
      <c r="U8" s="14"/>
      <c r="V8" s="14"/>
      <c r="W8" s="14"/>
      <c r="X8" s="14"/>
      <c r="Y8" s="14"/>
      <c r="Z8" s="14"/>
    </row>
    <row r="9">
      <c r="A9" s="2"/>
      <c r="B9" s="21"/>
      <c r="C9" s="55"/>
      <c r="D9" s="57" t="s">
        <v>28</v>
      </c>
      <c r="E9" s="59">
        <v>0.0</v>
      </c>
      <c r="F9" s="67">
        <f t="shared" si="3"/>
        <v>0</v>
      </c>
      <c r="G9" s="61">
        <f t="shared" si="1"/>
        <v>0</v>
      </c>
      <c r="H9" s="62">
        <f t="shared" si="2"/>
        <v>0</v>
      </c>
      <c r="I9" s="14"/>
      <c r="J9" s="14"/>
      <c r="K9" s="14"/>
      <c r="L9" s="14"/>
      <c r="M9" s="14"/>
      <c r="N9" s="14"/>
      <c r="O9" s="14"/>
      <c r="P9" s="14"/>
      <c r="Q9" s="14"/>
      <c r="R9" s="14"/>
      <c r="S9" s="14"/>
      <c r="T9" s="14"/>
      <c r="U9" s="14"/>
      <c r="V9" s="14"/>
      <c r="W9" s="14"/>
      <c r="X9" s="14"/>
      <c r="Y9" s="14"/>
      <c r="Z9" s="14"/>
    </row>
    <row r="10">
      <c r="A10" s="2"/>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63"/>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63"/>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63"/>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63"/>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63"/>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63"/>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63"/>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63"/>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63"/>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63"/>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5.75" customHeight="1">
      <c r="A21" s="63"/>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63"/>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c r="A23" s="63"/>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63"/>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c r="A25" s="63"/>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c r="A26" s="63"/>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c r="A27" s="6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c r="A28" s="63"/>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c r="A29" s="63"/>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c r="A30" s="63"/>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c r="A31" s="63"/>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63"/>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c r="A33" s="63"/>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c r="A34" s="63"/>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c r="A35" s="63"/>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c r="A36" s="63"/>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c r="A37" s="6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c r="A38" s="6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c r="A39" s="63"/>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c r="A40" s="63"/>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c r="A41" s="63"/>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c r="A42" s="63"/>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c r="A43" s="63"/>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63"/>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63"/>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63"/>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63"/>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63"/>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63"/>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63"/>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63"/>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63"/>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63"/>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63"/>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63"/>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63"/>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63"/>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63"/>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63"/>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63"/>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63"/>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63"/>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63"/>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63"/>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63"/>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63"/>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63"/>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63"/>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63"/>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63"/>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63"/>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63"/>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63"/>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63"/>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63"/>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63"/>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63"/>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63"/>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63"/>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63"/>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63"/>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63"/>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63"/>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6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6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6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6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6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6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6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6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6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6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6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6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6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6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6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6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6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6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6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6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6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6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6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6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6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6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6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6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6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6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6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6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6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6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6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6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6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6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6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6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6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6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6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6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6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6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6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6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6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6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6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6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6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6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6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6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6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6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6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6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6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6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6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6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6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6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6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6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6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6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6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6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6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6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6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6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6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6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6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6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6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6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6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6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6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6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6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6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6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6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6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6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6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6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6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6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6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6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6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6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6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6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6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6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6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6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6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6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6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6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6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6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6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6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6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6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6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6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6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6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6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6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6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6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6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6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6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6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6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6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6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6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6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6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6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6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6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6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6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6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6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6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6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6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6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6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6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6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6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6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6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6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6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6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6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6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6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6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6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6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6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6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6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6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6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6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6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6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6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6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6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6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6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6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6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6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6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6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6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6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6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6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6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6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6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6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6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6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6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6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6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6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6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6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6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6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6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6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6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6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6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6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6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6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6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6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6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6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6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6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6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6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6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6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6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6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6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6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6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6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6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6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6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6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6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6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6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6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6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6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6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6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6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6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6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6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6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6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6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6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6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6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6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6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6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6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6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6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6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6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6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6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6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6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6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6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6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6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6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6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6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6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6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6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6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6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6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6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6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6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6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6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6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6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6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6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6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6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6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6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6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6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6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6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6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6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6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6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6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6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6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6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6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6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6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6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6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6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6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6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6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6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6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6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6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6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6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6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6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6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6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6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6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6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6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6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6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6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6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6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6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6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6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6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6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6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6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6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6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6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6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6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6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6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6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6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6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6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6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6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6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6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6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6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6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6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6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6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6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6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6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6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6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6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6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6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6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6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6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6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6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6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6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6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6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6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6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6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6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6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6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6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6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6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6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6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6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6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6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6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6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6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6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6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6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6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6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6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6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6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6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6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6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6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6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6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6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6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6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6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6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6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6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6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6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6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6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6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6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6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6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6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6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6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6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6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6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6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6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6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6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6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6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6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6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6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6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6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6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6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6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6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6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6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6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6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6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6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6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6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6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6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6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6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6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6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6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6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6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6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6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6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6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6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6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6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6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6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6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6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6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6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6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6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6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6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6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6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6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6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6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6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6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6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6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6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6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6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6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6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6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6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6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6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6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6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6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6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6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6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6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6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6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6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6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6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6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6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6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6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6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6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6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6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6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6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6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6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6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6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6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6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6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6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6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6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6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6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6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6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6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6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6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6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6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6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6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6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6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6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6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6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6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6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6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6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6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6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6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6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6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6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6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6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6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6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6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6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6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6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6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6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6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6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6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6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6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6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6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6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6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6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6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6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6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6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6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6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6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6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6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6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6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6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6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6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6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6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6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6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6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6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6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6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6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6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6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6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6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6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6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6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6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6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6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6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6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6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6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6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6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6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6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6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6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6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6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6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6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6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6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6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6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6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6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6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6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6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6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6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6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6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6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6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6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6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6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6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6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6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6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6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6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6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6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6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6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6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6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6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6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6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6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6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6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6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6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6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6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6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6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6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6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6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6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6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6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6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6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6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6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6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6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6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6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6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6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6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6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6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6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6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6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6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6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6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6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6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6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6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6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6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6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6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6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6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6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6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6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6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6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6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6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6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6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6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6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6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6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6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6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6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6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6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6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6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6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6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6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6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6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6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6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6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6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6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6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6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6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6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6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6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6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6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6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6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6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6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6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6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6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6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6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6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6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6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6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6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6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6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6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6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6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6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6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6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6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6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6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6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6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6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6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6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6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6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6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6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6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6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6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6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6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6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6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6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6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6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6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6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6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6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6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6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6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6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6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6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6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6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6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6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6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6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6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6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6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6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6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6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6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6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6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6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6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6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6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6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6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6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6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6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6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6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6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6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6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6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6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6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6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6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6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6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6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6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6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6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6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6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6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6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6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6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6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6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6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6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6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6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6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6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6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6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6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6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6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6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6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6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6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6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6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6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6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6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6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6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6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6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6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6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6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6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6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6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6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6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6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6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6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6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6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6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6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6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6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6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6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6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6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6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6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6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6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6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6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6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6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63"/>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63"/>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63"/>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63"/>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63"/>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63"/>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63"/>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63"/>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63"/>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63"/>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63"/>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63"/>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63"/>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63"/>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63"/>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63"/>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63"/>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63"/>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63"/>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63"/>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63"/>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5.75" customHeight="1">
      <c r="A984" s="63"/>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5.75" customHeight="1">
      <c r="A985" s="63"/>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5.75" customHeight="1">
      <c r="A986" s="63"/>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5.75" customHeight="1">
      <c r="A987" s="63"/>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5.75" customHeight="1">
      <c r="A988" s="63"/>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5.75" customHeight="1">
      <c r="A989" s="63"/>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5.75" customHeight="1">
      <c r="A990" s="63"/>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5.75" customHeight="1">
      <c r="A991" s="63"/>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5.75" customHeight="1">
      <c r="A992" s="63"/>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5.75" customHeight="1">
      <c r="A993" s="63"/>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5.75" customHeight="1">
      <c r="A994" s="63"/>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5.75" customHeight="1">
      <c r="A995" s="63"/>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5.75" customHeight="1">
      <c r="A996" s="63"/>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5.75" customHeight="1">
      <c r="A997" s="63"/>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5.75" customHeight="1">
      <c r="A998" s="63"/>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5.75" customHeight="1">
      <c r="A999" s="63"/>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5.75" customHeight="1">
      <c r="A1000" s="63"/>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3">
    <mergeCell ref="B2:E4"/>
    <mergeCell ref="F2:H2"/>
    <mergeCell ref="B5:C9"/>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6.43"/>
    <col customWidth="1" hidden="1" min="3" max="3" width="1.43"/>
    <col customWidth="1" min="4" max="4" width="16.57"/>
    <col customWidth="1" min="5" max="5" width="6.71"/>
    <col customWidth="1" min="6" max="6" width="14.43"/>
    <col customWidth="1" min="7" max="7" width="12.43"/>
    <col customWidth="1" min="8" max="8" width="15.86"/>
    <col customWidth="1" min="9" max="26" width="8.71"/>
  </cols>
  <sheetData>
    <row r="1">
      <c r="A1" s="2"/>
      <c r="B1" s="4"/>
      <c r="C1" s="4"/>
      <c r="D1" s="4"/>
    </row>
    <row r="2" ht="15.0" customHeight="1">
      <c r="A2" s="2"/>
      <c r="B2" s="111" t="s">
        <v>69</v>
      </c>
      <c r="C2" s="9"/>
      <c r="D2" s="9"/>
      <c r="E2" s="10"/>
      <c r="F2" s="112" t="s">
        <v>8</v>
      </c>
      <c r="G2" s="13"/>
      <c r="H2" s="15"/>
    </row>
    <row r="3" ht="15.0" customHeight="1">
      <c r="A3" s="2"/>
      <c r="B3" s="16"/>
      <c r="E3" s="17"/>
      <c r="F3" s="18" t="s">
        <v>11</v>
      </c>
      <c r="G3" s="19" t="s">
        <v>12</v>
      </c>
      <c r="H3" s="20" t="s">
        <v>13</v>
      </c>
    </row>
    <row r="4" ht="15.0" customHeight="1">
      <c r="A4" s="2"/>
      <c r="B4" s="21"/>
      <c r="C4" s="22"/>
      <c r="D4" s="22"/>
      <c r="E4" s="23"/>
      <c r="F4" s="113">
        <v>0.5</v>
      </c>
      <c r="G4" s="25">
        <v>1.0</v>
      </c>
      <c r="H4" s="26">
        <v>1.0</v>
      </c>
    </row>
    <row r="5" ht="15.0" customHeight="1">
      <c r="A5" s="2"/>
      <c r="B5" s="29" t="s">
        <v>16</v>
      </c>
      <c r="C5" s="31"/>
      <c r="D5" s="32" t="s">
        <v>18</v>
      </c>
      <c r="E5" s="33">
        <v>0.5</v>
      </c>
      <c r="F5" s="114">
        <f>E5*F4</f>
        <v>0.25</v>
      </c>
      <c r="G5" s="115">
        <f t="shared" ref="G5:G9" si="1">E5*$G$4</f>
        <v>0.5</v>
      </c>
      <c r="H5" s="116">
        <f t="shared" ref="H5:H9" si="2">E5*$H$4</f>
        <v>0.5</v>
      </c>
    </row>
    <row r="6">
      <c r="A6" s="2"/>
      <c r="B6" s="16"/>
      <c r="C6" s="40"/>
      <c r="D6" s="41" t="s">
        <v>22</v>
      </c>
      <c r="E6" s="43">
        <v>0.5</v>
      </c>
      <c r="F6" s="117">
        <f t="shared" ref="F6:F9" si="3">E6*$F$4</f>
        <v>0.25</v>
      </c>
      <c r="G6" s="118">
        <f t="shared" si="1"/>
        <v>0.5</v>
      </c>
      <c r="H6" s="119">
        <f t="shared" si="2"/>
        <v>0.5</v>
      </c>
    </row>
    <row r="7">
      <c r="A7" s="2"/>
      <c r="B7" s="16"/>
      <c r="C7" s="40"/>
      <c r="D7" s="41" t="s">
        <v>24</v>
      </c>
      <c r="E7" s="43">
        <v>1.0</v>
      </c>
      <c r="F7" s="120">
        <f t="shared" si="3"/>
        <v>0.5</v>
      </c>
      <c r="G7" s="121">
        <f t="shared" si="1"/>
        <v>1</v>
      </c>
      <c r="H7" s="122">
        <f t="shared" si="2"/>
        <v>1</v>
      </c>
    </row>
    <row r="8">
      <c r="A8" s="2"/>
      <c r="B8" s="16"/>
      <c r="C8" s="40"/>
      <c r="D8" s="41" t="s">
        <v>26</v>
      </c>
      <c r="E8" s="43">
        <v>0.5</v>
      </c>
      <c r="F8" s="123">
        <f t="shared" si="3"/>
        <v>0.25</v>
      </c>
      <c r="G8" s="118">
        <f t="shared" si="1"/>
        <v>0.5</v>
      </c>
      <c r="H8" s="119">
        <f t="shared" si="2"/>
        <v>0.5</v>
      </c>
    </row>
    <row r="9">
      <c r="A9" s="2"/>
      <c r="B9" s="21"/>
      <c r="C9" s="55"/>
      <c r="D9" s="57" t="s">
        <v>28</v>
      </c>
      <c r="E9" s="59">
        <v>0.5</v>
      </c>
      <c r="F9" s="124">
        <f t="shared" si="3"/>
        <v>0.25</v>
      </c>
      <c r="G9" s="125">
        <f t="shared" si="1"/>
        <v>0.5</v>
      </c>
      <c r="H9" s="126">
        <f t="shared" si="2"/>
        <v>0.5</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6.57"/>
    <col customWidth="1" min="3" max="3" width="5.29"/>
    <col customWidth="1" min="4" max="4" width="17.14"/>
    <col customWidth="1" min="5" max="5" width="7.0"/>
    <col customWidth="1" min="6" max="6" width="12.57"/>
    <col customWidth="1" min="7" max="7" width="12.14"/>
    <col customWidth="1" min="8" max="8" width="13.71"/>
    <col customWidth="1" min="9" max="26" width="8.71"/>
  </cols>
  <sheetData>
    <row r="1">
      <c r="A1" s="2"/>
      <c r="B1" s="4"/>
      <c r="C1" s="4"/>
      <c r="D1" s="4"/>
    </row>
    <row r="2" ht="15.0" customHeight="1">
      <c r="A2" s="2"/>
      <c r="B2" s="111" t="s">
        <v>70</v>
      </c>
      <c r="C2" s="9"/>
      <c r="D2" s="9"/>
      <c r="E2" s="10"/>
      <c r="F2" s="11" t="s">
        <v>8</v>
      </c>
      <c r="G2" s="13"/>
      <c r="H2" s="15"/>
    </row>
    <row r="3" ht="17.25" customHeight="1">
      <c r="A3" s="2"/>
      <c r="B3" s="16"/>
      <c r="E3" s="17"/>
      <c r="F3" s="18" t="s">
        <v>11</v>
      </c>
      <c r="G3" s="19" t="s">
        <v>12</v>
      </c>
      <c r="H3" s="20" t="s">
        <v>13</v>
      </c>
    </row>
    <row r="4" ht="18.0" customHeight="1">
      <c r="A4" s="2"/>
      <c r="B4" s="21"/>
      <c r="C4" s="22"/>
      <c r="D4" s="22"/>
      <c r="E4" s="23"/>
      <c r="F4" s="25">
        <v>0.5</v>
      </c>
      <c r="G4" s="25">
        <v>1.0</v>
      </c>
      <c r="H4" s="26">
        <v>1.0</v>
      </c>
    </row>
    <row r="5" ht="15.0" customHeight="1">
      <c r="A5" s="2"/>
      <c r="B5" s="29" t="s">
        <v>16</v>
      </c>
      <c r="C5" s="31"/>
      <c r="D5" s="32" t="s">
        <v>18</v>
      </c>
      <c r="E5" s="33">
        <v>0.5</v>
      </c>
      <c r="F5" s="114">
        <f>E5*F4</f>
        <v>0.25</v>
      </c>
      <c r="G5" s="115">
        <f t="shared" ref="G5:G9" si="1">E5*$G$4</f>
        <v>0.5</v>
      </c>
      <c r="H5" s="116">
        <f t="shared" ref="H5:H9" si="2">E5*$H$4</f>
        <v>0.5</v>
      </c>
    </row>
    <row r="6">
      <c r="A6" s="2"/>
      <c r="B6" s="16"/>
      <c r="C6" s="40"/>
      <c r="D6" s="41" t="s">
        <v>22</v>
      </c>
      <c r="E6" s="43">
        <v>0.5</v>
      </c>
      <c r="F6" s="117">
        <f t="shared" ref="F6:F9" si="3">E6*$F$4</f>
        <v>0.25</v>
      </c>
      <c r="G6" s="118">
        <f t="shared" si="1"/>
        <v>0.5</v>
      </c>
      <c r="H6" s="119">
        <f t="shared" si="2"/>
        <v>0.5</v>
      </c>
    </row>
    <row r="7">
      <c r="A7" s="2"/>
      <c r="B7" s="16"/>
      <c r="C7" s="40"/>
      <c r="D7" s="41" t="s">
        <v>24</v>
      </c>
      <c r="E7" s="43">
        <v>1.0</v>
      </c>
      <c r="F7" s="120">
        <f t="shared" si="3"/>
        <v>0.5</v>
      </c>
      <c r="G7" s="121">
        <f t="shared" si="1"/>
        <v>1</v>
      </c>
      <c r="H7" s="122">
        <f t="shared" si="2"/>
        <v>1</v>
      </c>
    </row>
    <row r="8">
      <c r="A8" s="2"/>
      <c r="B8" s="16"/>
      <c r="C8" s="40"/>
      <c r="D8" s="41" t="s">
        <v>26</v>
      </c>
      <c r="E8" s="43">
        <v>0.5</v>
      </c>
      <c r="F8" s="123">
        <f t="shared" si="3"/>
        <v>0.25</v>
      </c>
      <c r="G8" s="118">
        <f t="shared" si="1"/>
        <v>0.5</v>
      </c>
      <c r="H8" s="119">
        <f t="shared" si="2"/>
        <v>0.5</v>
      </c>
    </row>
    <row r="9">
      <c r="A9" s="2"/>
      <c r="B9" s="21"/>
      <c r="C9" s="55"/>
      <c r="D9" s="57" t="s">
        <v>28</v>
      </c>
      <c r="E9" s="59">
        <v>0.5</v>
      </c>
      <c r="F9" s="124">
        <f t="shared" si="3"/>
        <v>0.25</v>
      </c>
      <c r="G9" s="125">
        <f t="shared" si="1"/>
        <v>0.5</v>
      </c>
      <c r="H9" s="126">
        <f t="shared" si="2"/>
        <v>0.5</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5.14"/>
    <col customWidth="1" hidden="1" min="3" max="3" width="0.86"/>
    <col customWidth="1" min="4" max="4" width="17.57"/>
    <col customWidth="1" min="5" max="5" width="7.29"/>
    <col customWidth="1" min="6" max="6" width="13.43"/>
    <col customWidth="1" min="7" max="7" width="14.0"/>
    <col customWidth="1" min="8" max="8" width="14.86"/>
    <col customWidth="1" min="9" max="26" width="8.71"/>
  </cols>
  <sheetData>
    <row r="1">
      <c r="A1" s="2"/>
      <c r="B1" s="4"/>
      <c r="C1" s="4"/>
      <c r="D1" s="4"/>
    </row>
    <row r="2" ht="15.0" customHeight="1">
      <c r="A2" s="2"/>
      <c r="B2" s="111" t="s">
        <v>71</v>
      </c>
      <c r="C2" s="9"/>
      <c r="D2" s="9"/>
      <c r="E2" s="10"/>
      <c r="F2" s="112" t="s">
        <v>8</v>
      </c>
      <c r="G2" s="13"/>
      <c r="H2" s="15"/>
    </row>
    <row r="3" ht="18.0" customHeight="1">
      <c r="A3" s="2"/>
      <c r="B3" s="16"/>
      <c r="E3" s="17"/>
      <c r="F3" s="18" t="s">
        <v>11</v>
      </c>
      <c r="G3" s="19" t="s">
        <v>12</v>
      </c>
      <c r="H3" s="20" t="s">
        <v>13</v>
      </c>
    </row>
    <row r="4" ht="15.75" customHeight="1">
      <c r="A4" s="2"/>
      <c r="B4" s="21"/>
      <c r="C4" s="22"/>
      <c r="D4" s="22"/>
      <c r="E4" s="23"/>
      <c r="F4" s="113">
        <v>1.0</v>
      </c>
      <c r="G4" s="25">
        <v>1.0</v>
      </c>
      <c r="H4" s="26">
        <v>1.0</v>
      </c>
    </row>
    <row r="5" ht="15.0" customHeight="1">
      <c r="A5" s="2"/>
      <c r="B5" s="29" t="s">
        <v>16</v>
      </c>
      <c r="C5" s="31"/>
      <c r="D5" s="32" t="s">
        <v>18</v>
      </c>
      <c r="E5" s="33">
        <v>0.5</v>
      </c>
      <c r="F5" s="127">
        <f>E5*F4</f>
        <v>0.5</v>
      </c>
      <c r="G5" s="115">
        <f t="shared" ref="G5:G9" si="1">E5*$G$4</f>
        <v>0.5</v>
      </c>
      <c r="H5" s="116">
        <f t="shared" ref="H5:H9" si="2">E5*$H$4</f>
        <v>0.5</v>
      </c>
    </row>
    <row r="6">
      <c r="A6" s="2"/>
      <c r="B6" s="16"/>
      <c r="C6" s="40"/>
      <c r="D6" s="41" t="s">
        <v>22</v>
      </c>
      <c r="E6" s="43">
        <v>0.5</v>
      </c>
      <c r="F6" s="128">
        <f t="shared" ref="F6:F9" si="3">E6*$F$4</f>
        <v>0.5</v>
      </c>
      <c r="G6" s="118">
        <f t="shared" si="1"/>
        <v>0.5</v>
      </c>
      <c r="H6" s="119">
        <f t="shared" si="2"/>
        <v>0.5</v>
      </c>
    </row>
    <row r="7">
      <c r="A7" s="2"/>
      <c r="B7" s="16"/>
      <c r="C7" s="40"/>
      <c r="D7" s="41" t="s">
        <v>24</v>
      </c>
      <c r="E7" s="43">
        <v>1.0</v>
      </c>
      <c r="F7" s="129">
        <f t="shared" si="3"/>
        <v>1</v>
      </c>
      <c r="G7" s="121">
        <f t="shared" si="1"/>
        <v>1</v>
      </c>
      <c r="H7" s="122">
        <f t="shared" si="2"/>
        <v>1</v>
      </c>
    </row>
    <row r="8">
      <c r="A8" s="2"/>
      <c r="B8" s="16"/>
      <c r="C8" s="40"/>
      <c r="D8" s="41" t="s">
        <v>26</v>
      </c>
      <c r="E8" s="43">
        <v>0.5</v>
      </c>
      <c r="F8" s="120">
        <f t="shared" si="3"/>
        <v>0.5</v>
      </c>
      <c r="G8" s="118">
        <f t="shared" si="1"/>
        <v>0.5</v>
      </c>
      <c r="H8" s="119">
        <f t="shared" si="2"/>
        <v>0.5</v>
      </c>
    </row>
    <row r="9">
      <c r="A9" s="2"/>
      <c r="B9" s="21"/>
      <c r="C9" s="55"/>
      <c r="D9" s="57" t="s">
        <v>28</v>
      </c>
      <c r="E9" s="59">
        <v>0.5</v>
      </c>
      <c r="F9" s="130">
        <f t="shared" si="3"/>
        <v>0.5</v>
      </c>
      <c r="G9" s="125">
        <f t="shared" si="1"/>
        <v>0.5</v>
      </c>
      <c r="H9" s="126">
        <f t="shared" si="2"/>
        <v>0.5</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3">
      <c r="B3" s="97"/>
      <c r="C3" s="131"/>
      <c r="D3" s="99" t="s">
        <v>72</v>
      </c>
      <c r="E3" s="99" t="s">
        <v>73</v>
      </c>
      <c r="F3" s="99" t="s">
        <v>74</v>
      </c>
      <c r="G3" s="99" t="s">
        <v>75</v>
      </c>
    </row>
    <row r="4">
      <c r="B4" s="100" t="s">
        <v>63</v>
      </c>
      <c r="C4" s="132"/>
      <c r="D4" s="103">
        <v>1.0</v>
      </c>
      <c r="E4" s="103">
        <v>0.5</v>
      </c>
      <c r="F4" s="103">
        <v>0.5</v>
      </c>
      <c r="G4" s="103">
        <v>1.0</v>
      </c>
    </row>
    <row r="5">
      <c r="B5" s="100" t="s">
        <v>64</v>
      </c>
      <c r="C5" s="132"/>
      <c r="D5" s="103">
        <v>1.0</v>
      </c>
      <c r="E5" s="103">
        <v>1.0</v>
      </c>
      <c r="F5" s="103">
        <v>0.5</v>
      </c>
      <c r="G5" s="103">
        <v>1.0</v>
      </c>
    </row>
    <row r="6">
      <c r="B6" s="100" t="s">
        <v>65</v>
      </c>
      <c r="C6" s="132"/>
      <c r="D6" s="103">
        <v>1.0</v>
      </c>
      <c r="E6" s="103">
        <v>1.0</v>
      </c>
      <c r="F6" s="103">
        <v>0.5</v>
      </c>
      <c r="G6" s="103">
        <v>1.0</v>
      </c>
    </row>
    <row r="7">
      <c r="B7" s="100" t="s">
        <v>66</v>
      </c>
      <c r="C7" s="132"/>
      <c r="D7" s="103">
        <v>0.5</v>
      </c>
      <c r="E7" s="103">
        <v>1.0</v>
      </c>
      <c r="F7" s="103">
        <v>0.5</v>
      </c>
      <c r="G7" s="103">
        <v>1.0</v>
      </c>
    </row>
    <row r="8">
      <c r="B8" s="104" t="s">
        <v>67</v>
      </c>
      <c r="C8" s="133"/>
      <c r="D8" s="106">
        <f t="shared" ref="D8:G8" si="1">SUM(D4:D7)</f>
        <v>3.5</v>
      </c>
      <c r="E8" s="106">
        <f t="shared" si="1"/>
        <v>3.5</v>
      </c>
      <c r="F8" s="134">
        <f t="shared" si="1"/>
        <v>2</v>
      </c>
      <c r="G8" s="106">
        <f t="shared" si="1"/>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C3"/>
    <mergeCell ref="B4:C4"/>
    <mergeCell ref="B5:C5"/>
    <mergeCell ref="B6:C6"/>
    <mergeCell ref="B7:C7"/>
    <mergeCell ref="B8:C8"/>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4.57"/>
    <col customWidth="1" hidden="1" min="3" max="3" width="1.0"/>
    <col customWidth="1" min="4" max="4" width="16.86"/>
    <col customWidth="1" min="5" max="5" width="7.43"/>
    <col customWidth="1" min="6" max="6" width="13.29"/>
    <col customWidth="1" min="7" max="7" width="12.57"/>
    <col customWidth="1" min="8" max="8" width="14.43"/>
    <col customWidth="1" min="9" max="26" width="8.71"/>
  </cols>
  <sheetData>
    <row r="1">
      <c r="A1" s="2"/>
      <c r="B1" s="4"/>
      <c r="C1" s="4"/>
      <c r="D1" s="4"/>
    </row>
    <row r="2" ht="15.0" customHeight="1">
      <c r="A2" s="2"/>
      <c r="B2" s="111" t="s">
        <v>76</v>
      </c>
      <c r="C2" s="9"/>
      <c r="D2" s="9"/>
      <c r="E2" s="10"/>
      <c r="F2" s="11" t="s">
        <v>8</v>
      </c>
      <c r="G2" s="13"/>
      <c r="H2" s="15"/>
    </row>
    <row r="3" ht="18.0" customHeight="1">
      <c r="A3" s="2"/>
      <c r="B3" s="16"/>
      <c r="E3" s="17"/>
      <c r="F3" s="18" t="s">
        <v>11</v>
      </c>
      <c r="G3" s="19" t="s">
        <v>12</v>
      </c>
      <c r="H3" s="20" t="s">
        <v>13</v>
      </c>
    </row>
    <row r="4" ht="13.5" customHeight="1">
      <c r="A4" s="2"/>
      <c r="B4" s="21"/>
      <c r="C4" s="22"/>
      <c r="D4" s="22"/>
      <c r="E4" s="23"/>
      <c r="F4" s="25">
        <v>0.5</v>
      </c>
      <c r="G4" s="25">
        <v>0.5</v>
      </c>
      <c r="H4" s="26">
        <v>0.5</v>
      </c>
    </row>
    <row r="5" ht="15.0" customHeight="1">
      <c r="A5" s="2"/>
      <c r="B5" s="29" t="s">
        <v>16</v>
      </c>
      <c r="C5" s="31"/>
      <c r="D5" s="32" t="s">
        <v>18</v>
      </c>
      <c r="E5" s="33">
        <v>1.0</v>
      </c>
      <c r="F5" s="127">
        <f>E5*F4</f>
        <v>0.5</v>
      </c>
      <c r="G5" s="115">
        <f t="shared" ref="G5:G9" si="1">E5*$G$4</f>
        <v>0.5</v>
      </c>
      <c r="H5" s="116">
        <f t="shared" ref="H5:H9" si="2">E5*$H$4</f>
        <v>0.5</v>
      </c>
    </row>
    <row r="6">
      <c r="A6" s="2"/>
      <c r="B6" s="16"/>
      <c r="C6" s="40"/>
      <c r="D6" s="41" t="s">
        <v>22</v>
      </c>
      <c r="E6" s="43">
        <v>1.0</v>
      </c>
      <c r="F6" s="128">
        <f t="shared" ref="F6:F9" si="3">E6*$F$4</f>
        <v>0.5</v>
      </c>
      <c r="G6" s="118">
        <f t="shared" si="1"/>
        <v>0.5</v>
      </c>
      <c r="H6" s="119">
        <f t="shared" si="2"/>
        <v>0.5</v>
      </c>
    </row>
    <row r="7">
      <c r="A7" s="2"/>
      <c r="B7" s="16"/>
      <c r="C7" s="40"/>
      <c r="D7" s="41" t="s">
        <v>24</v>
      </c>
      <c r="E7" s="43">
        <v>0.5</v>
      </c>
      <c r="F7" s="123">
        <f t="shared" si="3"/>
        <v>0.25</v>
      </c>
      <c r="G7" s="135">
        <f t="shared" si="1"/>
        <v>0.25</v>
      </c>
      <c r="H7" s="136">
        <f t="shared" si="2"/>
        <v>0.25</v>
      </c>
    </row>
    <row r="8">
      <c r="A8" s="2"/>
      <c r="B8" s="16"/>
      <c r="C8" s="40"/>
      <c r="D8" s="41" t="s">
        <v>26</v>
      </c>
      <c r="E8" s="43">
        <v>0.0</v>
      </c>
      <c r="F8" s="137">
        <f t="shared" si="3"/>
        <v>0</v>
      </c>
      <c r="G8" s="138">
        <f t="shared" si="1"/>
        <v>0</v>
      </c>
      <c r="H8" s="139">
        <f t="shared" si="2"/>
        <v>0</v>
      </c>
    </row>
    <row r="9">
      <c r="A9" s="2"/>
      <c r="B9" s="21"/>
      <c r="C9" s="55"/>
      <c r="D9" s="57" t="s">
        <v>28</v>
      </c>
      <c r="E9" s="59">
        <v>0.0</v>
      </c>
      <c r="F9" s="140">
        <f t="shared" si="3"/>
        <v>0</v>
      </c>
      <c r="G9" s="141">
        <f t="shared" si="1"/>
        <v>0</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71"/>
    <col customWidth="1" min="3" max="3" width="7.43"/>
    <col customWidth="1" min="4" max="4" width="18.0"/>
    <col customWidth="1" min="5" max="5" width="9.43"/>
    <col customWidth="1" min="6" max="26" width="15.71"/>
  </cols>
  <sheetData>
    <row r="1">
      <c r="A1" s="2"/>
      <c r="B1" s="4"/>
      <c r="C1" s="4"/>
      <c r="D1" s="4"/>
    </row>
    <row r="2" ht="15.0" customHeight="1">
      <c r="A2" s="2"/>
      <c r="B2" s="111" t="s">
        <v>77</v>
      </c>
      <c r="C2" s="9"/>
      <c r="D2" s="9"/>
      <c r="E2" s="10"/>
      <c r="F2" s="143" t="s">
        <v>8</v>
      </c>
      <c r="G2" s="144"/>
      <c r="H2" s="131"/>
    </row>
    <row r="3" ht="16.5" customHeight="1">
      <c r="A3" s="2"/>
      <c r="B3" s="16"/>
      <c r="E3" s="17"/>
      <c r="F3" s="18" t="s">
        <v>11</v>
      </c>
      <c r="G3" s="19" t="s">
        <v>12</v>
      </c>
      <c r="H3" s="20" t="s">
        <v>13</v>
      </c>
    </row>
    <row r="4" ht="15.0" customHeight="1">
      <c r="A4" s="2"/>
      <c r="B4" s="21"/>
      <c r="C4" s="22"/>
      <c r="D4" s="22"/>
      <c r="E4" s="23"/>
      <c r="F4" s="113">
        <v>0.5</v>
      </c>
      <c r="G4" s="25">
        <v>0.5</v>
      </c>
      <c r="H4" s="26">
        <v>0.5</v>
      </c>
    </row>
    <row r="5" ht="15.0" customHeight="1">
      <c r="A5" s="2"/>
      <c r="B5" s="29" t="s">
        <v>16</v>
      </c>
      <c r="C5" s="31"/>
      <c r="D5" s="32" t="s">
        <v>18</v>
      </c>
      <c r="E5" s="33">
        <v>1.0</v>
      </c>
      <c r="F5" s="127">
        <f>E5*F4</f>
        <v>0.5</v>
      </c>
      <c r="G5" s="115">
        <f t="shared" ref="G5:G9" si="1">E5*$G$4</f>
        <v>0.5</v>
      </c>
      <c r="H5" s="116">
        <f t="shared" ref="H5:H9" si="2">E5*$H$4</f>
        <v>0.5</v>
      </c>
    </row>
    <row r="6">
      <c r="A6" s="2"/>
      <c r="B6" s="16"/>
      <c r="C6" s="40"/>
      <c r="D6" s="41" t="s">
        <v>22</v>
      </c>
      <c r="E6" s="43">
        <v>1.0</v>
      </c>
      <c r="F6" s="128">
        <f t="shared" ref="F6:F9" si="3">E6*$F$4</f>
        <v>0.5</v>
      </c>
      <c r="G6" s="118">
        <f t="shared" si="1"/>
        <v>0.5</v>
      </c>
      <c r="H6" s="119">
        <f t="shared" si="2"/>
        <v>0.5</v>
      </c>
    </row>
    <row r="7">
      <c r="A7" s="2"/>
      <c r="B7" s="16"/>
      <c r="C7" s="40"/>
      <c r="D7" s="41" t="s">
        <v>24</v>
      </c>
      <c r="E7" s="43">
        <v>0.5</v>
      </c>
      <c r="F7" s="123">
        <f t="shared" si="3"/>
        <v>0.25</v>
      </c>
      <c r="G7" s="135">
        <f t="shared" si="1"/>
        <v>0.25</v>
      </c>
      <c r="H7" s="136">
        <f t="shared" si="2"/>
        <v>0.25</v>
      </c>
    </row>
    <row r="8">
      <c r="A8" s="2"/>
      <c r="B8" s="16"/>
      <c r="C8" s="40"/>
      <c r="D8" s="41" t="s">
        <v>26</v>
      </c>
      <c r="E8" s="43">
        <v>0.5</v>
      </c>
      <c r="F8" s="123">
        <f t="shared" si="3"/>
        <v>0.25</v>
      </c>
      <c r="G8" s="135">
        <f t="shared" si="1"/>
        <v>0.25</v>
      </c>
      <c r="H8" s="136">
        <f t="shared" si="2"/>
        <v>0.25</v>
      </c>
    </row>
    <row r="9">
      <c r="A9" s="2"/>
      <c r="B9" s="21"/>
      <c r="C9" s="55"/>
      <c r="D9" s="57" t="s">
        <v>28</v>
      </c>
      <c r="E9" s="59">
        <v>0.0</v>
      </c>
      <c r="F9" s="140">
        <f t="shared" si="3"/>
        <v>0</v>
      </c>
      <c r="G9" s="141">
        <f t="shared" si="1"/>
        <v>0</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8.0"/>
    <col customWidth="1" min="3" max="3" width="0.43"/>
    <col customWidth="1" min="4" max="4" width="18.0"/>
    <col customWidth="1" min="5" max="5" width="6.71"/>
    <col customWidth="1" min="6" max="6" width="11.0"/>
    <col customWidth="1" min="7" max="7" width="16.71"/>
    <col customWidth="1" min="8" max="8" width="14.43"/>
    <col customWidth="1" min="9" max="26" width="8.71"/>
  </cols>
  <sheetData>
    <row r="1">
      <c r="A1" s="2"/>
      <c r="B1" s="4"/>
      <c r="C1" s="4"/>
      <c r="D1" s="4"/>
    </row>
    <row r="2" ht="15.0" customHeight="1">
      <c r="A2" s="2"/>
      <c r="B2" s="111" t="s">
        <v>78</v>
      </c>
      <c r="C2" s="9"/>
      <c r="D2" s="9"/>
      <c r="E2" s="10"/>
      <c r="F2" s="11" t="s">
        <v>8</v>
      </c>
      <c r="G2" s="13"/>
      <c r="H2" s="15"/>
    </row>
    <row r="3" ht="19.5" customHeight="1">
      <c r="A3" s="2"/>
      <c r="B3" s="16"/>
      <c r="E3" s="17"/>
      <c r="F3" s="18" t="s">
        <v>11</v>
      </c>
      <c r="G3" s="19" t="s">
        <v>12</v>
      </c>
      <c r="H3" s="20" t="s">
        <v>13</v>
      </c>
    </row>
    <row r="4" ht="14.25" customHeight="1">
      <c r="A4" s="2"/>
      <c r="B4" s="21"/>
      <c r="C4" s="22"/>
      <c r="D4" s="22"/>
      <c r="E4" s="23"/>
      <c r="F4" s="25">
        <v>0.5</v>
      </c>
      <c r="G4" s="25">
        <v>0.5</v>
      </c>
      <c r="H4" s="26">
        <v>1.0</v>
      </c>
    </row>
    <row r="5" ht="15.0" customHeight="1">
      <c r="A5" s="2"/>
      <c r="B5" s="29" t="s">
        <v>16</v>
      </c>
      <c r="C5" s="31"/>
      <c r="D5" s="32" t="s">
        <v>18</v>
      </c>
      <c r="E5" s="33">
        <v>1.0</v>
      </c>
      <c r="F5" s="127">
        <f>E5*F4</f>
        <v>0.5</v>
      </c>
      <c r="G5" s="115">
        <f t="shared" ref="G5:G9" si="1">E5*$G$4</f>
        <v>0.5</v>
      </c>
      <c r="H5" s="145">
        <f t="shared" ref="H5:H9" si="2">E5*$H$4</f>
        <v>1</v>
      </c>
    </row>
    <row r="6">
      <c r="A6" s="2"/>
      <c r="B6" s="16"/>
      <c r="C6" s="40"/>
      <c r="D6" s="41" t="s">
        <v>22</v>
      </c>
      <c r="E6" s="43">
        <v>1.0</v>
      </c>
      <c r="F6" s="128">
        <f t="shared" ref="F6:F9" si="3">E6*$F$4</f>
        <v>0.5</v>
      </c>
      <c r="G6" s="118">
        <f t="shared" si="1"/>
        <v>0.5</v>
      </c>
      <c r="H6" s="122">
        <f t="shared" si="2"/>
        <v>1</v>
      </c>
    </row>
    <row r="7">
      <c r="A7" s="2"/>
      <c r="B7" s="16"/>
      <c r="C7" s="40"/>
      <c r="D7" s="41" t="s">
        <v>24</v>
      </c>
      <c r="E7" s="43">
        <v>0.5</v>
      </c>
      <c r="F7" s="123">
        <f t="shared" si="3"/>
        <v>0.25</v>
      </c>
      <c r="G7" s="135">
        <f t="shared" si="1"/>
        <v>0.25</v>
      </c>
      <c r="H7" s="119">
        <f t="shared" si="2"/>
        <v>0.5</v>
      </c>
    </row>
    <row r="8">
      <c r="A8" s="2"/>
      <c r="B8" s="16"/>
      <c r="C8" s="40"/>
      <c r="D8" s="41" t="s">
        <v>26</v>
      </c>
      <c r="E8" s="43">
        <v>0.0</v>
      </c>
      <c r="F8" s="137">
        <f t="shared" si="3"/>
        <v>0</v>
      </c>
      <c r="G8" s="138">
        <f t="shared" si="1"/>
        <v>0</v>
      </c>
      <c r="H8" s="139">
        <f t="shared" si="2"/>
        <v>0</v>
      </c>
    </row>
    <row r="9">
      <c r="A9" s="2"/>
      <c r="B9" s="21"/>
      <c r="C9" s="55"/>
      <c r="D9" s="57" t="s">
        <v>28</v>
      </c>
      <c r="E9" s="59">
        <v>0.0</v>
      </c>
      <c r="F9" s="140">
        <f t="shared" si="3"/>
        <v>0</v>
      </c>
      <c r="G9" s="141">
        <f t="shared" si="1"/>
        <v>0</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24.71"/>
    <col customWidth="1" min="3" max="3" width="2.14"/>
    <col customWidth="1" min="4" max="4" width="18.29"/>
    <col customWidth="1" min="5" max="5" width="4.0"/>
    <col customWidth="1" min="6" max="6" width="11.0"/>
    <col customWidth="1" min="7" max="7" width="13.71"/>
    <col customWidth="1" min="8" max="8" width="14.43"/>
    <col customWidth="1" min="9" max="26" width="10.43"/>
  </cols>
  <sheetData>
    <row r="1">
      <c r="A1" s="2"/>
      <c r="B1" s="4"/>
      <c r="C1" s="4"/>
      <c r="D1" s="4"/>
    </row>
    <row r="2" ht="15.0" customHeight="1">
      <c r="A2" s="2"/>
      <c r="B2" s="111" t="s">
        <v>79</v>
      </c>
      <c r="C2" s="9"/>
      <c r="D2" s="9"/>
      <c r="E2" s="10"/>
      <c r="F2" s="11" t="s">
        <v>8</v>
      </c>
      <c r="G2" s="13"/>
      <c r="H2" s="15"/>
    </row>
    <row r="3" ht="15.75" customHeight="1">
      <c r="A3" s="2"/>
      <c r="B3" s="16"/>
      <c r="E3" s="17"/>
      <c r="F3" s="18" t="s">
        <v>11</v>
      </c>
      <c r="G3" s="19" t="s">
        <v>12</v>
      </c>
      <c r="H3" s="20" t="s">
        <v>13</v>
      </c>
    </row>
    <row r="4" ht="15.0" customHeight="1">
      <c r="A4" s="2"/>
      <c r="B4" s="21"/>
      <c r="C4" s="22"/>
      <c r="D4" s="22"/>
      <c r="E4" s="23"/>
      <c r="F4" s="25">
        <v>0.5</v>
      </c>
      <c r="G4" s="25">
        <v>1.0</v>
      </c>
      <c r="H4" s="26">
        <v>1.0</v>
      </c>
    </row>
    <row r="5" ht="15.0" customHeight="1">
      <c r="A5" s="2"/>
      <c r="B5" s="29" t="s">
        <v>16</v>
      </c>
      <c r="C5" s="31"/>
      <c r="D5" s="32" t="s">
        <v>18</v>
      </c>
      <c r="E5" s="33">
        <v>1.0</v>
      </c>
      <c r="F5" s="127">
        <f>E5*F4</f>
        <v>0.5</v>
      </c>
      <c r="G5" s="146">
        <f t="shared" ref="G5:G9" si="1">E5*$G$4</f>
        <v>1</v>
      </c>
      <c r="H5" s="145">
        <f t="shared" ref="H5:H9" si="2">E5*$H$4</f>
        <v>1</v>
      </c>
    </row>
    <row r="6">
      <c r="A6" s="2"/>
      <c r="B6" s="16"/>
      <c r="C6" s="40"/>
      <c r="D6" s="41" t="s">
        <v>22</v>
      </c>
      <c r="E6" s="43">
        <v>1.0</v>
      </c>
      <c r="F6" s="128">
        <f t="shared" ref="F6:F9" si="3">E6*$F$4</f>
        <v>0.5</v>
      </c>
      <c r="G6" s="121">
        <f t="shared" si="1"/>
        <v>1</v>
      </c>
      <c r="H6" s="122">
        <f t="shared" si="2"/>
        <v>1</v>
      </c>
    </row>
    <row r="7">
      <c r="A7" s="2"/>
      <c r="B7" s="16"/>
      <c r="C7" s="40"/>
      <c r="D7" s="41" t="s">
        <v>24</v>
      </c>
      <c r="E7" s="43">
        <v>0.5</v>
      </c>
      <c r="F7" s="123">
        <f t="shared" si="3"/>
        <v>0.25</v>
      </c>
      <c r="G7" s="147">
        <f t="shared" si="1"/>
        <v>0.5</v>
      </c>
      <c r="H7" s="148">
        <f t="shared" si="2"/>
        <v>0.5</v>
      </c>
    </row>
    <row r="8">
      <c r="A8" s="2"/>
      <c r="B8" s="16"/>
      <c r="C8" s="40"/>
      <c r="D8" s="41" t="s">
        <v>26</v>
      </c>
      <c r="E8" s="43">
        <v>0.0</v>
      </c>
      <c r="F8" s="137">
        <f t="shared" si="3"/>
        <v>0</v>
      </c>
      <c r="G8" s="138">
        <f t="shared" si="1"/>
        <v>0</v>
      </c>
      <c r="H8" s="139">
        <f t="shared" si="2"/>
        <v>0</v>
      </c>
    </row>
    <row r="9">
      <c r="A9" s="2"/>
      <c r="B9" s="21"/>
      <c r="C9" s="55"/>
      <c r="D9" s="57" t="s">
        <v>28</v>
      </c>
      <c r="E9" s="59">
        <v>0.0</v>
      </c>
      <c r="F9" s="140">
        <f t="shared" si="3"/>
        <v>0</v>
      </c>
      <c r="G9" s="141">
        <f t="shared" si="1"/>
        <v>0</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8.0"/>
    <col customWidth="1" hidden="1" min="3" max="3" width="15.71"/>
    <col customWidth="1" min="4" max="4" width="18.0"/>
    <col customWidth="1" min="5" max="5" width="8.71"/>
    <col customWidth="1" min="6" max="6" width="11.0"/>
    <col customWidth="1" min="7" max="7" width="12.29"/>
    <col customWidth="1" min="8" max="8" width="14.43"/>
    <col customWidth="1" min="9" max="26" width="8.71"/>
  </cols>
  <sheetData>
    <row r="1">
      <c r="A1" s="2"/>
      <c r="B1" s="4"/>
      <c r="C1" s="4"/>
      <c r="D1" s="4"/>
    </row>
    <row r="2" ht="15.0" customHeight="1">
      <c r="A2" s="2"/>
      <c r="B2" s="111" t="s">
        <v>80</v>
      </c>
      <c r="C2" s="9"/>
      <c r="D2" s="9"/>
      <c r="E2" s="10"/>
      <c r="F2" s="11" t="s">
        <v>8</v>
      </c>
      <c r="G2" s="13"/>
      <c r="H2" s="15"/>
    </row>
    <row r="3" ht="18.0" customHeight="1">
      <c r="A3" s="2"/>
      <c r="B3" s="16"/>
      <c r="E3" s="17"/>
      <c r="F3" s="18" t="s">
        <v>11</v>
      </c>
      <c r="G3" s="19" t="s">
        <v>12</v>
      </c>
      <c r="H3" s="20" t="s">
        <v>13</v>
      </c>
    </row>
    <row r="4" ht="13.5" customHeight="1">
      <c r="A4" s="2"/>
      <c r="B4" s="21"/>
      <c r="C4" s="22"/>
      <c r="D4" s="22"/>
      <c r="E4" s="23"/>
      <c r="F4" s="25">
        <v>0.5</v>
      </c>
      <c r="G4" s="25">
        <v>0.5</v>
      </c>
      <c r="H4" s="26">
        <v>0.5</v>
      </c>
    </row>
    <row r="5" ht="15.0" customHeight="1">
      <c r="A5" s="2"/>
      <c r="B5" s="29" t="s">
        <v>16</v>
      </c>
      <c r="C5" s="31"/>
      <c r="D5" s="32" t="s">
        <v>18</v>
      </c>
      <c r="E5" s="33">
        <v>0.5</v>
      </c>
      <c r="F5" s="114">
        <f>E5*F4</f>
        <v>0.25</v>
      </c>
      <c r="G5" s="149">
        <f t="shared" ref="G5:G9" si="1">E5*$G$4</f>
        <v>0.25</v>
      </c>
      <c r="H5" s="150">
        <f t="shared" ref="H5:H9" si="2">E5*$H$4</f>
        <v>0.25</v>
      </c>
    </row>
    <row r="6">
      <c r="A6" s="2"/>
      <c r="B6" s="16"/>
      <c r="C6" s="40"/>
      <c r="D6" s="41" t="s">
        <v>22</v>
      </c>
      <c r="E6" s="43">
        <v>1.0</v>
      </c>
      <c r="F6" s="128">
        <f t="shared" ref="F6:F9" si="3">E6*$F$4</f>
        <v>0.5</v>
      </c>
      <c r="G6" s="118">
        <f t="shared" si="1"/>
        <v>0.5</v>
      </c>
      <c r="H6" s="119">
        <f t="shared" si="2"/>
        <v>0.5</v>
      </c>
    </row>
    <row r="7">
      <c r="A7" s="2"/>
      <c r="B7" s="16"/>
      <c r="C7" s="40"/>
      <c r="D7" s="41" t="s">
        <v>24</v>
      </c>
      <c r="E7" s="43">
        <v>0.5</v>
      </c>
      <c r="F7" s="123">
        <f t="shared" si="3"/>
        <v>0.25</v>
      </c>
      <c r="G7" s="135">
        <f t="shared" si="1"/>
        <v>0.25</v>
      </c>
      <c r="H7" s="136">
        <f t="shared" si="2"/>
        <v>0.25</v>
      </c>
    </row>
    <row r="8">
      <c r="A8" s="2"/>
      <c r="B8" s="16"/>
      <c r="C8" s="40"/>
      <c r="D8" s="41" t="s">
        <v>26</v>
      </c>
      <c r="E8" s="43">
        <v>0.0</v>
      </c>
      <c r="F8" s="137">
        <f t="shared" si="3"/>
        <v>0</v>
      </c>
      <c r="G8" s="138">
        <f t="shared" si="1"/>
        <v>0</v>
      </c>
      <c r="H8" s="139">
        <f t="shared" si="2"/>
        <v>0</v>
      </c>
    </row>
    <row r="9">
      <c r="A9" s="2"/>
      <c r="B9" s="21"/>
      <c r="C9" s="55"/>
      <c r="D9" s="57" t="s">
        <v>28</v>
      </c>
      <c r="E9" s="59">
        <v>0.0</v>
      </c>
      <c r="F9" s="140">
        <f t="shared" si="3"/>
        <v>0</v>
      </c>
      <c r="G9" s="141">
        <f t="shared" si="1"/>
        <v>0</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4" width="7.29"/>
    <col customWidth="1" min="5" max="5" width="7.43"/>
    <col customWidth="1" min="6" max="6" width="6.71"/>
    <col customWidth="1" min="7" max="7" width="7.14"/>
    <col customWidth="1" min="8" max="8" width="7.43"/>
    <col customWidth="1" min="9" max="26" width="8.71"/>
  </cols>
  <sheetData>
    <row r="3">
      <c r="B3" s="97"/>
      <c r="C3" s="131"/>
      <c r="D3" s="99" t="s">
        <v>81</v>
      </c>
      <c r="E3" s="99" t="s">
        <v>82</v>
      </c>
      <c r="F3" s="99" t="s">
        <v>83</v>
      </c>
      <c r="G3" s="99" t="s">
        <v>84</v>
      </c>
      <c r="H3" s="99" t="s">
        <v>85</v>
      </c>
    </row>
    <row r="4">
      <c r="B4" s="100" t="s">
        <v>63</v>
      </c>
      <c r="C4" s="132"/>
      <c r="D4" s="103">
        <v>1.0</v>
      </c>
      <c r="E4" s="103">
        <v>1.0</v>
      </c>
      <c r="F4" s="103">
        <v>1.0</v>
      </c>
      <c r="G4" s="103">
        <v>1.0</v>
      </c>
      <c r="H4" s="103">
        <v>0.5</v>
      </c>
    </row>
    <row r="5">
      <c r="B5" s="100" t="s">
        <v>64</v>
      </c>
      <c r="C5" s="132"/>
      <c r="D5" s="103">
        <v>1.0</v>
      </c>
      <c r="E5" s="103">
        <v>1.0</v>
      </c>
      <c r="F5" s="103">
        <v>1.0</v>
      </c>
      <c r="G5" s="103">
        <v>1.0</v>
      </c>
      <c r="H5" s="103">
        <v>0.5</v>
      </c>
    </row>
    <row r="6">
      <c r="B6" s="100" t="s">
        <v>65</v>
      </c>
      <c r="C6" s="132"/>
      <c r="D6" s="103">
        <v>1.0</v>
      </c>
      <c r="E6" s="103">
        <v>1.0</v>
      </c>
      <c r="F6" s="103">
        <v>1.0</v>
      </c>
      <c r="G6" s="103">
        <v>1.0</v>
      </c>
      <c r="H6" s="103">
        <v>1.0</v>
      </c>
    </row>
    <row r="7">
      <c r="B7" s="100" t="s">
        <v>66</v>
      </c>
      <c r="C7" s="132"/>
      <c r="D7" s="103">
        <v>1.0</v>
      </c>
      <c r="E7" s="103">
        <v>1.0</v>
      </c>
      <c r="F7" s="103">
        <v>1.0</v>
      </c>
      <c r="G7" s="103">
        <v>1.0</v>
      </c>
      <c r="H7" s="103">
        <v>1.0</v>
      </c>
    </row>
    <row r="8">
      <c r="B8" s="104" t="s">
        <v>67</v>
      </c>
      <c r="C8" s="133"/>
      <c r="D8" s="106">
        <f t="shared" ref="D8:H8" si="1">SUM(D4:D7)</f>
        <v>4</v>
      </c>
      <c r="E8" s="106">
        <f t="shared" si="1"/>
        <v>4</v>
      </c>
      <c r="F8" s="106">
        <f t="shared" si="1"/>
        <v>4</v>
      </c>
      <c r="G8" s="106">
        <f t="shared" si="1"/>
        <v>4</v>
      </c>
      <c r="H8" s="151">
        <f t="shared" si="1"/>
        <v>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C3"/>
    <mergeCell ref="B4:C4"/>
    <mergeCell ref="B5:C5"/>
    <mergeCell ref="B6:C6"/>
    <mergeCell ref="B7:C7"/>
    <mergeCell ref="B8:C8"/>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3.57"/>
    <col customWidth="1" hidden="1" min="3" max="3" width="2.14"/>
    <col customWidth="1" min="4" max="4" width="18.0"/>
    <col customWidth="1" min="5" max="5" width="7.86"/>
    <col customWidth="1" min="6" max="6" width="11.0"/>
    <col customWidth="1" min="7" max="7" width="12.29"/>
    <col customWidth="1" min="8" max="8" width="14.43"/>
    <col customWidth="1" min="9" max="26" width="8.71"/>
  </cols>
  <sheetData>
    <row r="1">
      <c r="A1" s="2"/>
      <c r="B1" s="4"/>
      <c r="C1" s="4"/>
      <c r="D1" s="4"/>
    </row>
    <row r="2" ht="15.0" customHeight="1">
      <c r="A2" s="2"/>
      <c r="B2" s="111" t="s">
        <v>86</v>
      </c>
      <c r="C2" s="9"/>
      <c r="D2" s="9"/>
      <c r="E2" s="10"/>
      <c r="F2" s="11" t="s">
        <v>8</v>
      </c>
      <c r="G2" s="13"/>
      <c r="H2" s="15"/>
    </row>
    <row r="3" ht="15.75" customHeight="1">
      <c r="A3" s="2"/>
      <c r="B3" s="16"/>
      <c r="E3" s="17"/>
      <c r="F3" s="18" t="s">
        <v>11</v>
      </c>
      <c r="G3" s="19" t="s">
        <v>12</v>
      </c>
      <c r="H3" s="20" t="s">
        <v>13</v>
      </c>
    </row>
    <row r="4" ht="15.75" customHeight="1">
      <c r="A4" s="2"/>
      <c r="B4" s="21"/>
      <c r="C4" s="22"/>
      <c r="D4" s="22"/>
      <c r="E4" s="23"/>
      <c r="F4" s="25">
        <v>0.5</v>
      </c>
      <c r="G4" s="25">
        <v>0.0</v>
      </c>
      <c r="H4" s="26">
        <v>0.0</v>
      </c>
    </row>
    <row r="5" ht="15.0" customHeight="1">
      <c r="A5" s="2"/>
      <c r="B5" s="29" t="s">
        <v>16</v>
      </c>
      <c r="C5" s="31"/>
      <c r="D5" s="32" t="s">
        <v>18</v>
      </c>
      <c r="E5" s="33">
        <v>1.0</v>
      </c>
      <c r="F5" s="127">
        <f>E5*F4</f>
        <v>0.5</v>
      </c>
      <c r="G5" s="152">
        <f t="shared" ref="G5:G9" si="1">E5*$G$4</f>
        <v>0</v>
      </c>
      <c r="H5" s="153">
        <f t="shared" ref="H5:H9" si="2">E5*$H$4</f>
        <v>0</v>
      </c>
    </row>
    <row r="6">
      <c r="A6" s="2"/>
      <c r="B6" s="16"/>
      <c r="C6" s="40"/>
      <c r="D6" s="41" t="s">
        <v>22</v>
      </c>
      <c r="E6" s="43">
        <v>1.0</v>
      </c>
      <c r="F6" s="128">
        <f t="shared" ref="F6:F9" si="3">E6*$F$4</f>
        <v>0.5</v>
      </c>
      <c r="G6" s="138">
        <f t="shared" si="1"/>
        <v>0</v>
      </c>
      <c r="H6" s="139">
        <f t="shared" si="2"/>
        <v>0</v>
      </c>
    </row>
    <row r="7">
      <c r="A7" s="2"/>
      <c r="B7" s="16"/>
      <c r="C7" s="40"/>
      <c r="D7" s="41" t="s">
        <v>24</v>
      </c>
      <c r="E7" s="43">
        <v>0.5</v>
      </c>
      <c r="F7" s="123">
        <f t="shared" si="3"/>
        <v>0.25</v>
      </c>
      <c r="G7" s="138">
        <f t="shared" si="1"/>
        <v>0</v>
      </c>
      <c r="H7" s="139">
        <f t="shared" si="2"/>
        <v>0</v>
      </c>
    </row>
    <row r="8">
      <c r="A8" s="2"/>
      <c r="B8" s="16"/>
      <c r="C8" s="40"/>
      <c r="D8" s="41" t="s">
        <v>26</v>
      </c>
      <c r="E8" s="43">
        <v>0.0</v>
      </c>
      <c r="F8" s="137">
        <f t="shared" si="3"/>
        <v>0</v>
      </c>
      <c r="G8" s="138">
        <f t="shared" si="1"/>
        <v>0</v>
      </c>
      <c r="H8" s="139">
        <f t="shared" si="2"/>
        <v>0</v>
      </c>
    </row>
    <row r="9">
      <c r="A9" s="2"/>
      <c r="B9" s="21"/>
      <c r="C9" s="55"/>
      <c r="D9" s="57" t="s">
        <v>28</v>
      </c>
      <c r="E9" s="59">
        <v>0.0</v>
      </c>
      <c r="F9" s="140">
        <f t="shared" si="3"/>
        <v>0</v>
      </c>
      <c r="G9" s="141">
        <f t="shared" si="1"/>
        <v>0</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7.57"/>
    <col customWidth="1" hidden="1" min="3" max="3" width="2.29"/>
    <col customWidth="1" min="4" max="4" width="18.0"/>
    <col customWidth="1" min="5" max="5" width="8.71"/>
    <col customWidth="1" min="6" max="6" width="11.0"/>
    <col customWidth="1" min="7" max="7" width="12.29"/>
    <col customWidth="1" min="8" max="8" width="14.43"/>
    <col customWidth="1" min="9" max="26" width="8.71"/>
  </cols>
  <sheetData>
    <row r="1">
      <c r="A1" s="2"/>
      <c r="B1" s="4"/>
      <c r="C1" s="4"/>
      <c r="D1" s="4"/>
    </row>
    <row r="2" ht="15.0" customHeight="1">
      <c r="A2" s="2"/>
      <c r="B2" s="111" t="s">
        <v>87</v>
      </c>
      <c r="C2" s="9"/>
      <c r="D2" s="9"/>
      <c r="E2" s="10"/>
      <c r="F2" s="11" t="s">
        <v>8</v>
      </c>
      <c r="G2" s="13"/>
      <c r="H2" s="15"/>
    </row>
    <row r="3" ht="18.75" customHeight="1">
      <c r="A3" s="2"/>
      <c r="B3" s="16"/>
      <c r="E3" s="17"/>
      <c r="F3" s="18" t="s">
        <v>11</v>
      </c>
      <c r="G3" s="19" t="s">
        <v>12</v>
      </c>
      <c r="H3" s="20" t="s">
        <v>13</v>
      </c>
    </row>
    <row r="4" ht="16.5" customHeight="1">
      <c r="A4" s="2"/>
      <c r="B4" s="21"/>
      <c r="C4" s="22"/>
      <c r="D4" s="22"/>
      <c r="E4" s="23"/>
      <c r="F4" s="25">
        <v>1.0</v>
      </c>
      <c r="G4" s="25">
        <v>0.5</v>
      </c>
      <c r="H4" s="26">
        <v>0.0</v>
      </c>
    </row>
    <row r="5" ht="15.0" customHeight="1">
      <c r="A5" s="2"/>
      <c r="B5" s="29" t="s">
        <v>16</v>
      </c>
      <c r="C5" s="31"/>
      <c r="D5" s="32" t="s">
        <v>18</v>
      </c>
      <c r="E5" s="33">
        <v>0.5</v>
      </c>
      <c r="F5" s="127">
        <f>E5*F4</f>
        <v>0.5</v>
      </c>
      <c r="G5" s="149">
        <f t="shared" ref="G5:G9" si="1">E5*$G$4</f>
        <v>0.25</v>
      </c>
      <c r="H5" s="153">
        <f t="shared" ref="H5:H9" si="2">E5*$H$4</f>
        <v>0</v>
      </c>
    </row>
    <row r="6">
      <c r="A6" s="2"/>
      <c r="B6" s="16"/>
      <c r="C6" s="40"/>
      <c r="D6" s="41" t="s">
        <v>22</v>
      </c>
      <c r="E6" s="43">
        <v>0.5</v>
      </c>
      <c r="F6" s="128">
        <f t="shared" ref="F6:F9" si="3">E6*$F$4</f>
        <v>0.5</v>
      </c>
      <c r="G6" s="135">
        <f t="shared" si="1"/>
        <v>0.25</v>
      </c>
      <c r="H6" s="139">
        <f t="shared" si="2"/>
        <v>0</v>
      </c>
    </row>
    <row r="7">
      <c r="A7" s="2"/>
      <c r="B7" s="16"/>
      <c r="C7" s="40"/>
      <c r="D7" s="41" t="s">
        <v>24</v>
      </c>
      <c r="E7" s="43">
        <v>0.5</v>
      </c>
      <c r="F7" s="120">
        <f t="shared" si="3"/>
        <v>0.5</v>
      </c>
      <c r="G7" s="135">
        <f t="shared" si="1"/>
        <v>0.25</v>
      </c>
      <c r="H7" s="139">
        <f t="shared" si="2"/>
        <v>0</v>
      </c>
    </row>
    <row r="8">
      <c r="A8" s="2"/>
      <c r="B8" s="16"/>
      <c r="C8" s="40"/>
      <c r="D8" s="41" t="s">
        <v>26</v>
      </c>
      <c r="E8" s="43">
        <v>0.5</v>
      </c>
      <c r="F8" s="120">
        <f t="shared" si="3"/>
        <v>0.5</v>
      </c>
      <c r="G8" s="135">
        <f t="shared" si="1"/>
        <v>0.25</v>
      </c>
      <c r="H8" s="139">
        <f t="shared" si="2"/>
        <v>0</v>
      </c>
    </row>
    <row r="9">
      <c r="A9" s="2"/>
      <c r="B9" s="21"/>
      <c r="C9" s="55"/>
      <c r="D9" s="57" t="s">
        <v>28</v>
      </c>
      <c r="E9" s="59">
        <v>0.0</v>
      </c>
      <c r="F9" s="140">
        <f t="shared" si="3"/>
        <v>0</v>
      </c>
      <c r="G9" s="141">
        <f t="shared" si="1"/>
        <v>0</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7.86"/>
    <col customWidth="1" hidden="1" min="3" max="3" width="15.71"/>
    <col customWidth="1" min="4" max="4" width="18.0"/>
    <col customWidth="1" min="5" max="5" width="8.71"/>
    <col customWidth="1" min="6" max="6" width="11.0"/>
    <col customWidth="1" min="7" max="7" width="12.29"/>
    <col customWidth="1" min="8" max="8" width="14.43"/>
    <col customWidth="1" min="9" max="26" width="8.71"/>
  </cols>
  <sheetData>
    <row r="1">
      <c r="A1" s="2"/>
      <c r="B1" s="4"/>
      <c r="C1" s="4"/>
      <c r="D1" s="4"/>
    </row>
    <row r="2" ht="15.0" customHeight="1">
      <c r="A2" s="2"/>
      <c r="B2" s="111" t="s">
        <v>88</v>
      </c>
      <c r="C2" s="9"/>
      <c r="D2" s="9"/>
      <c r="E2" s="10"/>
      <c r="F2" s="11" t="s">
        <v>8</v>
      </c>
      <c r="G2" s="13"/>
      <c r="H2" s="15"/>
    </row>
    <row r="3" ht="18.0" customHeight="1">
      <c r="A3" s="2"/>
      <c r="B3" s="16"/>
      <c r="E3" s="17"/>
      <c r="F3" s="18" t="s">
        <v>11</v>
      </c>
      <c r="G3" s="19" t="s">
        <v>12</v>
      </c>
      <c r="H3" s="20" t="s">
        <v>13</v>
      </c>
    </row>
    <row r="4" ht="15.0" customHeight="1">
      <c r="A4" s="2"/>
      <c r="B4" s="21"/>
      <c r="C4" s="22"/>
      <c r="D4" s="22"/>
      <c r="E4" s="23"/>
      <c r="F4" s="25">
        <v>0.5</v>
      </c>
      <c r="G4" s="25">
        <v>1.0</v>
      </c>
      <c r="H4" s="26">
        <v>0.0</v>
      </c>
    </row>
    <row r="5" ht="15.0" customHeight="1">
      <c r="A5" s="2"/>
      <c r="B5" s="29" t="s">
        <v>16</v>
      </c>
      <c r="C5" s="31"/>
      <c r="D5" s="32" t="s">
        <v>18</v>
      </c>
      <c r="E5" s="33">
        <v>0.0</v>
      </c>
      <c r="F5" s="154">
        <f>E5*F4</f>
        <v>0</v>
      </c>
      <c r="G5" s="152">
        <f t="shared" ref="G5:G9" si="1">E5*$G$4</f>
        <v>0</v>
      </c>
      <c r="H5" s="153">
        <f t="shared" ref="H5:H9" si="2">E5*$H$4</f>
        <v>0</v>
      </c>
    </row>
    <row r="6">
      <c r="A6" s="2"/>
      <c r="B6" s="16"/>
      <c r="C6" s="40"/>
      <c r="D6" s="41" t="s">
        <v>22</v>
      </c>
      <c r="E6" s="43">
        <v>0.0</v>
      </c>
      <c r="F6" s="155">
        <f t="shared" ref="F6:F9" si="3">E6*$F$4</f>
        <v>0</v>
      </c>
      <c r="G6" s="138">
        <f t="shared" si="1"/>
        <v>0</v>
      </c>
      <c r="H6" s="139">
        <f t="shared" si="2"/>
        <v>0</v>
      </c>
    </row>
    <row r="7">
      <c r="A7" s="2"/>
      <c r="B7" s="16"/>
      <c r="C7" s="40"/>
      <c r="D7" s="41" t="s">
        <v>24</v>
      </c>
      <c r="E7" s="43">
        <v>0.5</v>
      </c>
      <c r="F7" s="123">
        <f t="shared" si="3"/>
        <v>0.25</v>
      </c>
      <c r="G7" s="118">
        <f t="shared" si="1"/>
        <v>0.5</v>
      </c>
      <c r="H7" s="139">
        <f t="shared" si="2"/>
        <v>0</v>
      </c>
    </row>
    <row r="8">
      <c r="A8" s="2"/>
      <c r="B8" s="16"/>
      <c r="C8" s="40"/>
      <c r="D8" s="41" t="s">
        <v>26</v>
      </c>
      <c r="E8" s="43">
        <v>0.5</v>
      </c>
      <c r="F8" s="123">
        <f t="shared" si="3"/>
        <v>0.25</v>
      </c>
      <c r="G8" s="118">
        <f t="shared" si="1"/>
        <v>0.5</v>
      </c>
      <c r="H8" s="139">
        <f t="shared" si="2"/>
        <v>0</v>
      </c>
    </row>
    <row r="9">
      <c r="A9" s="2"/>
      <c r="B9" s="21"/>
      <c r="C9" s="55"/>
      <c r="D9" s="57" t="s">
        <v>28</v>
      </c>
      <c r="E9" s="59">
        <v>0.5</v>
      </c>
      <c r="F9" s="124">
        <f t="shared" si="3"/>
        <v>0.25</v>
      </c>
      <c r="G9" s="125">
        <f t="shared" si="1"/>
        <v>0.5</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8.0"/>
    <col customWidth="1" hidden="1" min="3" max="3" width="15.71"/>
    <col customWidth="1" min="4" max="4" width="18.0"/>
    <col customWidth="1" min="5" max="5" width="6.43"/>
    <col customWidth="1" min="6" max="6" width="11.0"/>
    <col customWidth="1" min="7" max="7" width="12.29"/>
    <col customWidth="1" min="8" max="8" width="14.43"/>
    <col customWidth="1" min="9" max="26" width="8.71"/>
  </cols>
  <sheetData>
    <row r="1">
      <c r="A1" s="2"/>
      <c r="B1" s="4"/>
      <c r="C1" s="4"/>
      <c r="D1" s="4"/>
    </row>
    <row r="2" ht="15.0" customHeight="1">
      <c r="A2" s="2"/>
      <c r="B2" s="111" t="s">
        <v>89</v>
      </c>
      <c r="C2" s="9"/>
      <c r="D2" s="9"/>
      <c r="E2" s="10"/>
      <c r="F2" s="11" t="s">
        <v>8</v>
      </c>
      <c r="G2" s="13"/>
      <c r="H2" s="15"/>
    </row>
    <row r="3" ht="17.25" customHeight="1">
      <c r="A3" s="2"/>
      <c r="B3" s="16"/>
      <c r="E3" s="17"/>
      <c r="F3" s="18" t="s">
        <v>11</v>
      </c>
      <c r="G3" s="19" t="s">
        <v>12</v>
      </c>
      <c r="H3" s="20" t="s">
        <v>13</v>
      </c>
    </row>
    <row r="4" ht="13.5" customHeight="1">
      <c r="A4" s="2"/>
      <c r="B4" s="21"/>
      <c r="C4" s="22"/>
      <c r="D4" s="22"/>
      <c r="E4" s="23"/>
      <c r="F4" s="25">
        <v>1.0</v>
      </c>
      <c r="G4" s="25">
        <v>0.5</v>
      </c>
      <c r="H4" s="26">
        <v>0.0</v>
      </c>
    </row>
    <row r="5" ht="15.0" customHeight="1">
      <c r="A5" s="2"/>
      <c r="B5" s="29" t="s">
        <v>16</v>
      </c>
      <c r="C5" s="31"/>
      <c r="D5" s="32" t="s">
        <v>18</v>
      </c>
      <c r="E5" s="33">
        <v>0.0</v>
      </c>
      <c r="F5" s="154">
        <f>E5*F4</f>
        <v>0</v>
      </c>
      <c r="G5" s="152">
        <f t="shared" ref="G5:G9" si="1">E5*$G$4</f>
        <v>0</v>
      </c>
      <c r="H5" s="153">
        <f t="shared" ref="H5:H9" si="2">E5*$H$4</f>
        <v>0</v>
      </c>
    </row>
    <row r="6">
      <c r="A6" s="2"/>
      <c r="B6" s="16"/>
      <c r="C6" s="40"/>
      <c r="D6" s="41" t="s">
        <v>22</v>
      </c>
      <c r="E6" s="43">
        <v>0.5</v>
      </c>
      <c r="F6" s="128">
        <f t="shared" ref="F6:F9" si="3">E6*$F$4</f>
        <v>0.5</v>
      </c>
      <c r="G6" s="135">
        <f t="shared" si="1"/>
        <v>0.25</v>
      </c>
      <c r="H6" s="139">
        <f t="shared" si="2"/>
        <v>0</v>
      </c>
    </row>
    <row r="7">
      <c r="A7" s="2"/>
      <c r="B7" s="16"/>
      <c r="C7" s="40"/>
      <c r="D7" s="41" t="s">
        <v>24</v>
      </c>
      <c r="E7" s="43">
        <v>0.5</v>
      </c>
      <c r="F7" s="120">
        <f t="shared" si="3"/>
        <v>0.5</v>
      </c>
      <c r="G7" s="135">
        <f t="shared" si="1"/>
        <v>0.25</v>
      </c>
      <c r="H7" s="139">
        <f t="shared" si="2"/>
        <v>0</v>
      </c>
    </row>
    <row r="8">
      <c r="A8" s="2"/>
      <c r="B8" s="16"/>
      <c r="C8" s="40"/>
      <c r="D8" s="41" t="s">
        <v>26</v>
      </c>
      <c r="E8" s="43">
        <v>1.0</v>
      </c>
      <c r="F8" s="129">
        <f t="shared" si="3"/>
        <v>1</v>
      </c>
      <c r="G8" s="118">
        <f t="shared" si="1"/>
        <v>0.5</v>
      </c>
      <c r="H8" s="139">
        <f t="shared" si="2"/>
        <v>0</v>
      </c>
    </row>
    <row r="9">
      <c r="A9" s="2"/>
      <c r="B9" s="21"/>
      <c r="C9" s="55"/>
      <c r="D9" s="57" t="s">
        <v>28</v>
      </c>
      <c r="E9" s="59">
        <v>0.5</v>
      </c>
      <c r="F9" s="130">
        <f t="shared" si="3"/>
        <v>0.5</v>
      </c>
      <c r="G9" s="156">
        <f t="shared" si="1"/>
        <v>0.25</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4.0"/>
    <col customWidth="1" hidden="1" min="3" max="3" width="0.86"/>
    <col customWidth="1" min="4" max="4" width="18.0"/>
    <col customWidth="1" min="5" max="5" width="7.86"/>
    <col customWidth="1" min="6" max="6" width="11.0"/>
    <col customWidth="1" min="7" max="7" width="12.29"/>
    <col customWidth="1" min="8" max="8" width="14.43"/>
    <col customWidth="1" min="9" max="26" width="8.71"/>
  </cols>
  <sheetData>
    <row r="1">
      <c r="A1" s="2"/>
      <c r="B1" s="4"/>
      <c r="C1" s="4"/>
      <c r="D1" s="4"/>
    </row>
    <row r="2" ht="15.0" customHeight="1">
      <c r="A2" s="2"/>
      <c r="B2" s="111" t="s">
        <v>90</v>
      </c>
      <c r="C2" s="9"/>
      <c r="D2" s="9"/>
      <c r="E2" s="10"/>
      <c r="F2" s="11" t="s">
        <v>8</v>
      </c>
      <c r="G2" s="13"/>
      <c r="H2" s="15"/>
    </row>
    <row r="3" ht="18.0" customHeight="1">
      <c r="A3" s="2"/>
      <c r="B3" s="16"/>
      <c r="E3" s="17"/>
      <c r="F3" s="18" t="s">
        <v>11</v>
      </c>
      <c r="G3" s="19" t="s">
        <v>12</v>
      </c>
      <c r="H3" s="20" t="s">
        <v>13</v>
      </c>
    </row>
    <row r="4" ht="15.75" customHeight="1">
      <c r="A4" s="2"/>
      <c r="B4" s="21"/>
      <c r="C4" s="22"/>
      <c r="D4" s="22"/>
      <c r="E4" s="23"/>
      <c r="F4" s="25">
        <v>1.0</v>
      </c>
      <c r="G4" s="25">
        <v>1.0</v>
      </c>
      <c r="H4" s="26">
        <v>0.0</v>
      </c>
    </row>
    <row r="5" ht="15.0" customHeight="1">
      <c r="A5" s="2"/>
      <c r="B5" s="29" t="s">
        <v>16</v>
      </c>
      <c r="C5" s="31"/>
      <c r="D5" s="32" t="s">
        <v>18</v>
      </c>
      <c r="E5" s="33">
        <v>0.0</v>
      </c>
      <c r="F5" s="154">
        <f>E5*F4</f>
        <v>0</v>
      </c>
      <c r="G5" s="152">
        <f t="shared" ref="G5:G9" si="1">E5*$G$4</f>
        <v>0</v>
      </c>
      <c r="H5" s="153">
        <f t="shared" ref="H5:H9" si="2">E5*$H$4</f>
        <v>0</v>
      </c>
    </row>
    <row r="6">
      <c r="A6" s="2"/>
      <c r="B6" s="16"/>
      <c r="C6" s="40"/>
      <c r="D6" s="41" t="s">
        <v>22</v>
      </c>
      <c r="E6" s="43">
        <v>0.0</v>
      </c>
      <c r="F6" s="155">
        <f t="shared" ref="F6:F9" si="3">E6*$F$4</f>
        <v>0</v>
      </c>
      <c r="G6" s="138">
        <f t="shared" si="1"/>
        <v>0</v>
      </c>
      <c r="H6" s="139">
        <f t="shared" si="2"/>
        <v>0</v>
      </c>
    </row>
    <row r="7">
      <c r="A7" s="2"/>
      <c r="B7" s="16"/>
      <c r="C7" s="40"/>
      <c r="D7" s="41" t="s">
        <v>24</v>
      </c>
      <c r="E7" s="43">
        <v>0.0</v>
      </c>
      <c r="F7" s="137">
        <f t="shared" si="3"/>
        <v>0</v>
      </c>
      <c r="G7" s="138">
        <f t="shared" si="1"/>
        <v>0</v>
      </c>
      <c r="H7" s="139">
        <f t="shared" si="2"/>
        <v>0</v>
      </c>
    </row>
    <row r="8">
      <c r="A8" s="2"/>
      <c r="B8" s="16"/>
      <c r="C8" s="40"/>
      <c r="D8" s="41" t="s">
        <v>26</v>
      </c>
      <c r="E8" s="43">
        <v>0.5</v>
      </c>
      <c r="F8" s="120">
        <f t="shared" si="3"/>
        <v>0.5</v>
      </c>
      <c r="G8" s="118">
        <f t="shared" si="1"/>
        <v>0.5</v>
      </c>
      <c r="H8" s="139">
        <f t="shared" si="2"/>
        <v>0</v>
      </c>
    </row>
    <row r="9">
      <c r="A9" s="2"/>
      <c r="B9" s="21"/>
      <c r="C9" s="55"/>
      <c r="D9" s="57" t="s">
        <v>28</v>
      </c>
      <c r="E9" s="59">
        <v>1.0</v>
      </c>
      <c r="F9" s="157">
        <f t="shared" si="3"/>
        <v>1</v>
      </c>
      <c r="G9" s="158">
        <f t="shared" si="1"/>
        <v>1</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6.14"/>
    <col customWidth="1" min="4" max="4" width="6.86"/>
    <col customWidth="1" min="5" max="5" width="7.57"/>
    <col customWidth="1" min="6" max="6" width="7.86"/>
    <col customWidth="1" min="7" max="7" width="8.0"/>
    <col customWidth="1" min="8" max="8" width="7.86"/>
    <col customWidth="1" min="9" max="26" width="8.71"/>
  </cols>
  <sheetData>
    <row r="3">
      <c r="B3" s="97"/>
      <c r="C3" s="131"/>
      <c r="D3" s="99" t="s">
        <v>91</v>
      </c>
      <c r="E3" s="99" t="s">
        <v>92</v>
      </c>
      <c r="F3" s="99" t="s">
        <v>93</v>
      </c>
      <c r="G3" s="99" t="s">
        <v>94</v>
      </c>
      <c r="H3" s="99" t="s">
        <v>95</v>
      </c>
    </row>
    <row r="4">
      <c r="B4" s="100" t="s">
        <v>63</v>
      </c>
      <c r="C4" s="132"/>
      <c r="D4" s="103">
        <v>0.5</v>
      </c>
      <c r="E4" s="103">
        <v>0.5</v>
      </c>
      <c r="F4" s="103">
        <v>0.5</v>
      </c>
      <c r="G4" s="103">
        <v>0.5</v>
      </c>
      <c r="H4" s="103">
        <v>0.5</v>
      </c>
    </row>
    <row r="5">
      <c r="B5" s="100" t="s">
        <v>64</v>
      </c>
      <c r="C5" s="132"/>
      <c r="D5" s="103">
        <v>1.0</v>
      </c>
      <c r="E5" s="103">
        <v>1.0</v>
      </c>
      <c r="F5" s="103">
        <v>0.5</v>
      </c>
      <c r="G5" s="103">
        <v>0.5</v>
      </c>
      <c r="H5" s="103">
        <v>0.5</v>
      </c>
    </row>
    <row r="6">
      <c r="B6" s="100" t="s">
        <v>65</v>
      </c>
      <c r="C6" s="132"/>
      <c r="D6" s="103">
        <v>0.5</v>
      </c>
      <c r="E6" s="103">
        <v>0.5</v>
      </c>
      <c r="F6" s="103">
        <v>0.5</v>
      </c>
      <c r="G6" s="103">
        <v>0.5</v>
      </c>
      <c r="H6" s="103">
        <v>0.5</v>
      </c>
    </row>
    <row r="7">
      <c r="B7" s="100" t="s">
        <v>66</v>
      </c>
      <c r="C7" s="132"/>
      <c r="D7" s="103">
        <v>0.5</v>
      </c>
      <c r="E7" s="103">
        <v>0.5</v>
      </c>
      <c r="F7" s="103">
        <v>0.5</v>
      </c>
      <c r="G7" s="103">
        <v>0.5</v>
      </c>
      <c r="H7" s="103">
        <v>0.0</v>
      </c>
    </row>
    <row r="8">
      <c r="B8" s="104" t="s">
        <v>67</v>
      </c>
      <c r="C8" s="133"/>
      <c r="D8" s="151">
        <f t="shared" ref="D8:H8" si="1">SUM(D4:D7)</f>
        <v>2.5</v>
      </c>
      <c r="E8" s="151">
        <f t="shared" si="1"/>
        <v>2.5</v>
      </c>
      <c r="F8" s="134">
        <f t="shared" si="1"/>
        <v>2</v>
      </c>
      <c r="G8" s="134">
        <f t="shared" si="1"/>
        <v>2</v>
      </c>
      <c r="H8" s="134">
        <f t="shared" si="1"/>
        <v>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C3"/>
    <mergeCell ref="B4:C4"/>
    <mergeCell ref="B5:C5"/>
    <mergeCell ref="B6:C6"/>
    <mergeCell ref="B7:C7"/>
    <mergeCell ref="B8:C8"/>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7.86"/>
    <col customWidth="1" hidden="1" min="3" max="3" width="15.71"/>
    <col customWidth="1" min="4" max="4" width="18.0"/>
    <col customWidth="1" min="5" max="5" width="8.71"/>
    <col customWidth="1" min="6" max="6" width="11.86"/>
    <col customWidth="1" min="7" max="7" width="13.29"/>
    <col customWidth="1" min="8" max="8" width="15.29"/>
    <col customWidth="1" min="9" max="26" width="8.71"/>
  </cols>
  <sheetData>
    <row r="1">
      <c r="A1" s="63"/>
    </row>
    <row r="2">
      <c r="A2" s="63"/>
      <c r="B2" s="111" t="s">
        <v>96</v>
      </c>
      <c r="C2" s="9"/>
      <c r="D2" s="9"/>
      <c r="E2" s="9"/>
      <c r="F2" s="143" t="s">
        <v>8</v>
      </c>
      <c r="G2" s="144"/>
      <c r="H2" s="131"/>
    </row>
    <row r="3">
      <c r="A3" s="63"/>
      <c r="B3" s="16"/>
      <c r="F3" s="159" t="s">
        <v>98</v>
      </c>
      <c r="G3" s="41" t="s">
        <v>99</v>
      </c>
      <c r="H3" s="52" t="s">
        <v>100</v>
      </c>
    </row>
    <row r="4">
      <c r="A4" s="63"/>
      <c r="B4" s="21"/>
      <c r="C4" s="22"/>
      <c r="D4" s="22"/>
      <c r="E4" s="22"/>
      <c r="F4" s="113">
        <v>0.5</v>
      </c>
      <c r="G4" s="160">
        <v>1.0</v>
      </c>
      <c r="H4" s="161">
        <v>1.0</v>
      </c>
    </row>
    <row r="5">
      <c r="A5" s="63"/>
      <c r="B5" s="162" t="s">
        <v>16</v>
      </c>
      <c r="C5" s="163"/>
      <c r="D5" s="164" t="s">
        <v>18</v>
      </c>
      <c r="E5" s="95">
        <v>0.0</v>
      </c>
      <c r="F5" s="154">
        <f t="shared" ref="F5:F9" si="1">E5*$F$4</f>
        <v>0</v>
      </c>
      <c r="G5" s="152">
        <f t="shared" ref="G5:G9" si="2">E5*$G$4</f>
        <v>0</v>
      </c>
      <c r="H5" s="153">
        <f t="shared" ref="H5:H9" si="3">E5*$H$4</f>
        <v>0</v>
      </c>
    </row>
    <row r="6">
      <c r="A6" s="63"/>
      <c r="B6" s="16"/>
      <c r="C6" s="40"/>
      <c r="D6" s="41" t="s">
        <v>22</v>
      </c>
      <c r="E6" s="167">
        <v>0.5</v>
      </c>
      <c r="F6" s="117">
        <f t="shared" si="1"/>
        <v>0.25</v>
      </c>
      <c r="G6" s="118">
        <f t="shared" si="2"/>
        <v>0.5</v>
      </c>
      <c r="H6" s="119">
        <f t="shared" si="3"/>
        <v>0.5</v>
      </c>
    </row>
    <row r="7">
      <c r="A7" s="63"/>
      <c r="B7" s="16"/>
      <c r="C7" s="40"/>
      <c r="D7" s="41" t="s">
        <v>24</v>
      </c>
      <c r="E7" s="169">
        <v>1.0</v>
      </c>
      <c r="F7" s="120">
        <f t="shared" si="1"/>
        <v>0.5</v>
      </c>
      <c r="G7" s="121">
        <f t="shared" si="2"/>
        <v>1</v>
      </c>
      <c r="H7" s="122">
        <f t="shared" si="3"/>
        <v>1</v>
      </c>
    </row>
    <row r="8">
      <c r="A8" s="63"/>
      <c r="B8" s="16"/>
      <c r="C8" s="40"/>
      <c r="D8" s="41" t="s">
        <v>26</v>
      </c>
      <c r="E8" s="169">
        <v>0.5</v>
      </c>
      <c r="F8" s="123">
        <f t="shared" si="1"/>
        <v>0.25</v>
      </c>
      <c r="G8" s="118">
        <f t="shared" si="2"/>
        <v>0.5</v>
      </c>
      <c r="H8" s="119">
        <f t="shared" si="3"/>
        <v>0.5</v>
      </c>
    </row>
    <row r="9">
      <c r="A9" s="63"/>
      <c r="B9" s="21"/>
      <c r="C9" s="55"/>
      <c r="D9" s="57" t="s">
        <v>28</v>
      </c>
      <c r="E9" s="172">
        <v>0.0</v>
      </c>
      <c r="F9" s="140">
        <f t="shared" si="1"/>
        <v>0</v>
      </c>
      <c r="G9" s="141">
        <f t="shared" si="2"/>
        <v>0</v>
      </c>
      <c r="H9" s="142">
        <f t="shared" si="3"/>
        <v>0</v>
      </c>
    </row>
    <row r="10">
      <c r="A10" s="63"/>
      <c r="G10" s="173"/>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7.43"/>
    <col customWidth="1" hidden="1" min="3" max="3" width="15.71"/>
    <col customWidth="1" min="4" max="4" width="18.0"/>
    <col customWidth="1" min="5" max="5" width="7.71"/>
    <col customWidth="1" min="6" max="6" width="11.0"/>
    <col customWidth="1" min="7" max="7" width="12.29"/>
    <col customWidth="1" min="8" max="8" width="14.43"/>
    <col customWidth="1" min="9" max="26" width="8.71"/>
  </cols>
  <sheetData>
    <row r="1">
      <c r="A1" s="2"/>
      <c r="B1" s="4"/>
      <c r="C1" s="4"/>
      <c r="D1" s="4"/>
    </row>
    <row r="2" ht="15.0" customHeight="1">
      <c r="A2" s="2"/>
      <c r="B2" s="111" t="s">
        <v>97</v>
      </c>
      <c r="C2" s="9"/>
      <c r="D2" s="9"/>
      <c r="E2" s="10"/>
      <c r="F2" s="11" t="s">
        <v>8</v>
      </c>
      <c r="G2" s="13"/>
      <c r="H2" s="15"/>
    </row>
    <row r="3" ht="15.0" customHeight="1">
      <c r="A3" s="2"/>
      <c r="B3" s="16"/>
      <c r="E3" s="17"/>
      <c r="F3" s="18" t="s">
        <v>11</v>
      </c>
      <c r="G3" s="19" t="s">
        <v>12</v>
      </c>
      <c r="H3" s="20" t="s">
        <v>13</v>
      </c>
    </row>
    <row r="4" ht="12.0" customHeight="1">
      <c r="A4" s="2"/>
      <c r="B4" s="21"/>
      <c r="C4" s="22"/>
      <c r="D4" s="22"/>
      <c r="E4" s="23"/>
      <c r="F4" s="25">
        <v>0.5</v>
      </c>
      <c r="G4" s="25">
        <v>1.0</v>
      </c>
      <c r="H4" s="26">
        <v>1.0</v>
      </c>
    </row>
    <row r="5" ht="15.0" customHeight="1">
      <c r="A5" s="2"/>
      <c r="B5" s="29" t="s">
        <v>16</v>
      </c>
      <c r="C5" s="31"/>
      <c r="D5" s="32" t="s">
        <v>18</v>
      </c>
      <c r="E5" s="33">
        <v>0.0</v>
      </c>
      <c r="F5" s="138">
        <f>E5*F4</f>
        <v>0</v>
      </c>
      <c r="G5" s="138">
        <f t="shared" ref="G5:G9" si="1">E5*$G$4</f>
        <v>0</v>
      </c>
      <c r="H5" s="165">
        <f t="shared" ref="H5:H9" si="2">E5*$H$4</f>
        <v>0</v>
      </c>
    </row>
    <row r="6">
      <c r="A6" s="2"/>
      <c r="B6" s="16"/>
      <c r="C6" s="40"/>
      <c r="D6" s="41" t="s">
        <v>22</v>
      </c>
      <c r="E6" s="43">
        <v>0.0</v>
      </c>
      <c r="F6" s="166">
        <f t="shared" ref="F6:F9" si="3">E6*$F$4</f>
        <v>0</v>
      </c>
      <c r="G6" s="138">
        <f t="shared" si="1"/>
        <v>0</v>
      </c>
      <c r="H6" s="139">
        <f t="shared" si="2"/>
        <v>0</v>
      </c>
    </row>
    <row r="7">
      <c r="A7" s="2"/>
      <c r="B7" s="16"/>
      <c r="C7" s="40"/>
      <c r="D7" s="41" t="s">
        <v>24</v>
      </c>
      <c r="E7" s="43">
        <v>0.5</v>
      </c>
      <c r="F7" s="168">
        <f t="shared" si="3"/>
        <v>0.25</v>
      </c>
      <c r="G7" s="118">
        <f t="shared" si="1"/>
        <v>0.5</v>
      </c>
      <c r="H7" s="119">
        <f t="shared" si="2"/>
        <v>0.5</v>
      </c>
    </row>
    <row r="8">
      <c r="A8" s="2"/>
      <c r="B8" s="16"/>
      <c r="C8" s="40"/>
      <c r="D8" s="41" t="s">
        <v>26</v>
      </c>
      <c r="E8" s="43">
        <v>1.0</v>
      </c>
      <c r="F8" s="170">
        <f t="shared" si="3"/>
        <v>0.5</v>
      </c>
      <c r="G8" s="121">
        <f t="shared" si="1"/>
        <v>1</v>
      </c>
      <c r="H8" s="122">
        <f t="shared" si="2"/>
        <v>1</v>
      </c>
    </row>
    <row r="9">
      <c r="A9" s="2"/>
      <c r="B9" s="21"/>
      <c r="C9" s="55"/>
      <c r="D9" s="57" t="s">
        <v>28</v>
      </c>
      <c r="E9" s="59">
        <v>0.5</v>
      </c>
      <c r="F9" s="171">
        <f t="shared" si="3"/>
        <v>0.25</v>
      </c>
      <c r="G9" s="125">
        <f t="shared" si="1"/>
        <v>0.5</v>
      </c>
      <c r="H9" s="126">
        <f t="shared" si="2"/>
        <v>0.5</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6.57"/>
    <col customWidth="1" hidden="1" min="3" max="3" width="15.71"/>
    <col customWidth="1" min="4" max="4" width="18.0"/>
    <col customWidth="1" min="5" max="5" width="8.0"/>
    <col customWidth="1" min="6" max="6" width="11.0"/>
    <col customWidth="1" min="7" max="7" width="12.29"/>
    <col customWidth="1" min="8" max="8" width="14.43"/>
    <col customWidth="1" min="9" max="26" width="8.71"/>
  </cols>
  <sheetData>
    <row r="1">
      <c r="A1" s="2"/>
      <c r="B1" s="4"/>
      <c r="C1" s="4"/>
      <c r="D1" s="4"/>
    </row>
    <row r="2" ht="15.0" customHeight="1">
      <c r="A2" s="2"/>
      <c r="B2" s="111" t="s">
        <v>101</v>
      </c>
      <c r="C2" s="9"/>
      <c r="D2" s="9"/>
      <c r="E2" s="10"/>
      <c r="F2" s="11" t="s">
        <v>8</v>
      </c>
      <c r="G2" s="13"/>
      <c r="H2" s="15"/>
    </row>
    <row r="3" ht="16.5" customHeight="1">
      <c r="A3" s="2"/>
      <c r="B3" s="16"/>
      <c r="E3" s="17"/>
      <c r="F3" s="18" t="s">
        <v>11</v>
      </c>
      <c r="G3" s="19" t="s">
        <v>12</v>
      </c>
      <c r="H3" s="20" t="s">
        <v>13</v>
      </c>
    </row>
    <row r="4" ht="14.25" customHeight="1">
      <c r="A4" s="2"/>
      <c r="B4" s="21"/>
      <c r="C4" s="22"/>
      <c r="D4" s="22"/>
      <c r="E4" s="23"/>
      <c r="F4" s="25">
        <v>0.0</v>
      </c>
      <c r="G4" s="25">
        <v>0.5</v>
      </c>
      <c r="H4" s="26">
        <v>1.0</v>
      </c>
    </row>
    <row r="5" ht="15.0" customHeight="1">
      <c r="A5" s="2"/>
      <c r="B5" s="29" t="s">
        <v>16</v>
      </c>
      <c r="C5" s="31"/>
      <c r="D5" s="32" t="s">
        <v>18</v>
      </c>
      <c r="E5" s="33">
        <v>1.0</v>
      </c>
      <c r="F5" s="138">
        <f>E5*F4</f>
        <v>0</v>
      </c>
      <c r="G5" s="118">
        <f t="shared" ref="G5:G9" si="1">E5*$G$4</f>
        <v>0.5</v>
      </c>
      <c r="H5" s="174">
        <f t="shared" ref="H5:H9" si="2">E5*$H$4</f>
        <v>1</v>
      </c>
    </row>
    <row r="6">
      <c r="A6" s="2"/>
      <c r="B6" s="16"/>
      <c r="C6" s="40"/>
      <c r="D6" s="41" t="s">
        <v>22</v>
      </c>
      <c r="E6" s="43">
        <v>1.0</v>
      </c>
      <c r="F6" s="166">
        <f t="shared" ref="F6:F9" si="3">E6*$F$4</f>
        <v>0</v>
      </c>
      <c r="G6" s="118">
        <f t="shared" si="1"/>
        <v>0.5</v>
      </c>
      <c r="H6" s="122">
        <f t="shared" si="2"/>
        <v>1</v>
      </c>
    </row>
    <row r="7">
      <c r="A7" s="2"/>
      <c r="B7" s="16"/>
      <c r="C7" s="40"/>
      <c r="D7" s="41" t="s">
        <v>24</v>
      </c>
      <c r="E7" s="43">
        <v>0.5</v>
      </c>
      <c r="F7" s="175">
        <f t="shared" si="3"/>
        <v>0</v>
      </c>
      <c r="G7" s="135">
        <f t="shared" si="1"/>
        <v>0.25</v>
      </c>
      <c r="H7" s="119">
        <f t="shared" si="2"/>
        <v>0.5</v>
      </c>
    </row>
    <row r="8">
      <c r="A8" s="2"/>
      <c r="B8" s="16"/>
      <c r="C8" s="40"/>
      <c r="D8" s="41" t="s">
        <v>26</v>
      </c>
      <c r="E8" s="43">
        <v>0.0</v>
      </c>
      <c r="F8" s="175">
        <f t="shared" si="3"/>
        <v>0</v>
      </c>
      <c r="G8" s="138">
        <f t="shared" si="1"/>
        <v>0</v>
      </c>
      <c r="H8" s="139">
        <f t="shared" si="2"/>
        <v>0</v>
      </c>
    </row>
    <row r="9">
      <c r="A9" s="2"/>
      <c r="B9" s="21"/>
      <c r="C9" s="55"/>
      <c r="D9" s="57" t="s">
        <v>28</v>
      </c>
      <c r="E9" s="59">
        <v>0.0</v>
      </c>
      <c r="F9" s="176">
        <f t="shared" si="3"/>
        <v>0</v>
      </c>
      <c r="G9" s="141">
        <f t="shared" si="1"/>
        <v>0</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4.0"/>
    <col customWidth="1" hidden="1" min="3" max="3" width="0.86"/>
    <col customWidth="1" min="4" max="4" width="18.0"/>
    <col customWidth="1" min="5" max="5" width="7.29"/>
    <col customWidth="1" min="6" max="6" width="11.0"/>
    <col customWidth="1" min="7" max="7" width="12.29"/>
    <col customWidth="1" min="8" max="8" width="14.43"/>
    <col customWidth="1" min="9" max="26" width="8.71"/>
  </cols>
  <sheetData>
    <row r="1">
      <c r="A1" s="2"/>
      <c r="B1" s="4"/>
      <c r="C1" s="4"/>
      <c r="D1" s="4"/>
    </row>
    <row r="2" ht="15.0" customHeight="1">
      <c r="A2" s="2"/>
      <c r="B2" s="111" t="s">
        <v>102</v>
      </c>
      <c r="C2" s="9"/>
      <c r="D2" s="9"/>
      <c r="E2" s="10"/>
      <c r="F2" s="11" t="s">
        <v>8</v>
      </c>
      <c r="G2" s="13"/>
      <c r="H2" s="15"/>
    </row>
    <row r="3" ht="15.75" customHeight="1">
      <c r="A3" s="2"/>
      <c r="B3" s="16"/>
      <c r="E3" s="17"/>
      <c r="F3" s="18" t="s">
        <v>11</v>
      </c>
      <c r="G3" s="19" t="s">
        <v>12</v>
      </c>
      <c r="H3" s="20" t="s">
        <v>13</v>
      </c>
    </row>
    <row r="4" ht="14.25" customHeight="1">
      <c r="A4" s="2"/>
      <c r="B4" s="21"/>
      <c r="C4" s="22"/>
      <c r="D4" s="22"/>
      <c r="E4" s="23"/>
      <c r="F4" s="25">
        <v>0.5</v>
      </c>
      <c r="G4" s="25">
        <v>1.0</v>
      </c>
      <c r="H4" s="26">
        <v>1.0</v>
      </c>
    </row>
    <row r="5" ht="15.0" customHeight="1">
      <c r="A5" s="2"/>
      <c r="B5" s="29" t="s">
        <v>16</v>
      </c>
      <c r="C5" s="31"/>
      <c r="D5" s="32" t="s">
        <v>18</v>
      </c>
      <c r="E5" s="33">
        <v>0.0</v>
      </c>
      <c r="F5" s="138">
        <f>E5*F4</f>
        <v>0</v>
      </c>
      <c r="G5" s="138">
        <f t="shared" ref="G5:G9" si="1">E5*$G$4</f>
        <v>0</v>
      </c>
      <c r="H5" s="165">
        <f t="shared" ref="H5:H9" si="2">E5*$H$4</f>
        <v>0</v>
      </c>
    </row>
    <row r="6">
      <c r="A6" s="2"/>
      <c r="B6" s="16"/>
      <c r="C6" s="40"/>
      <c r="D6" s="41" t="s">
        <v>22</v>
      </c>
      <c r="E6" s="43">
        <v>0.0</v>
      </c>
      <c r="F6" s="166">
        <f t="shared" ref="F6:F9" si="3">E6*$F$4</f>
        <v>0</v>
      </c>
      <c r="G6" s="138">
        <f t="shared" si="1"/>
        <v>0</v>
      </c>
      <c r="H6" s="139">
        <f t="shared" si="2"/>
        <v>0</v>
      </c>
    </row>
    <row r="7">
      <c r="A7" s="2"/>
      <c r="B7" s="16"/>
      <c r="C7" s="40"/>
      <c r="D7" s="41" t="s">
        <v>24</v>
      </c>
      <c r="E7" s="43">
        <v>0.5</v>
      </c>
      <c r="F7" s="168">
        <f t="shared" si="3"/>
        <v>0.25</v>
      </c>
      <c r="G7" s="118">
        <f t="shared" si="1"/>
        <v>0.5</v>
      </c>
      <c r="H7" s="119">
        <f t="shared" si="2"/>
        <v>0.5</v>
      </c>
    </row>
    <row r="8">
      <c r="A8" s="2"/>
      <c r="B8" s="16"/>
      <c r="C8" s="40"/>
      <c r="D8" s="41" t="s">
        <v>26</v>
      </c>
      <c r="E8" s="43">
        <v>1.0</v>
      </c>
      <c r="F8" s="170">
        <f t="shared" si="3"/>
        <v>0.5</v>
      </c>
      <c r="G8" s="121">
        <f t="shared" si="1"/>
        <v>1</v>
      </c>
      <c r="H8" s="122">
        <f t="shared" si="2"/>
        <v>1</v>
      </c>
    </row>
    <row r="9">
      <c r="A9" s="2"/>
      <c r="B9" s="21"/>
      <c r="C9" s="55"/>
      <c r="D9" s="57" t="s">
        <v>28</v>
      </c>
      <c r="E9" s="59">
        <v>0.5</v>
      </c>
      <c r="F9" s="171">
        <f t="shared" si="3"/>
        <v>0.25</v>
      </c>
      <c r="G9" s="125">
        <f t="shared" si="1"/>
        <v>0.5</v>
      </c>
      <c r="H9" s="126">
        <f t="shared" si="2"/>
        <v>0.5</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3">
      <c r="B3" s="97"/>
      <c r="C3" s="131"/>
      <c r="D3" s="99" t="s">
        <v>103</v>
      </c>
      <c r="E3" s="99" t="s">
        <v>104</v>
      </c>
      <c r="F3" s="99" t="s">
        <v>105</v>
      </c>
      <c r="G3" s="99" t="s">
        <v>106</v>
      </c>
    </row>
    <row r="4">
      <c r="B4" s="100" t="s">
        <v>63</v>
      </c>
      <c r="C4" s="132"/>
      <c r="D4" s="103">
        <v>1.0</v>
      </c>
      <c r="E4" s="103">
        <v>1.0</v>
      </c>
      <c r="F4" s="103">
        <v>0.5</v>
      </c>
      <c r="G4" s="103">
        <v>0.5</v>
      </c>
    </row>
    <row r="5">
      <c r="B5" s="100" t="s">
        <v>64</v>
      </c>
      <c r="C5" s="132"/>
      <c r="D5" s="103">
        <v>1.0</v>
      </c>
      <c r="E5" s="103">
        <v>1.0</v>
      </c>
      <c r="F5" s="103">
        <v>0.5</v>
      </c>
      <c r="G5" s="103">
        <v>0.5</v>
      </c>
    </row>
    <row r="6">
      <c r="B6" s="100" t="s">
        <v>65</v>
      </c>
      <c r="C6" s="132"/>
      <c r="D6" s="103">
        <v>0.5</v>
      </c>
      <c r="E6" s="103">
        <v>0.5</v>
      </c>
      <c r="F6" s="103">
        <v>0.5</v>
      </c>
      <c r="G6" s="103">
        <v>0.5</v>
      </c>
    </row>
    <row r="7">
      <c r="B7" s="100" t="s">
        <v>66</v>
      </c>
      <c r="C7" s="132"/>
      <c r="D7" s="103">
        <v>0.5</v>
      </c>
      <c r="E7" s="103">
        <v>0.5</v>
      </c>
      <c r="F7" s="103">
        <v>0.5</v>
      </c>
      <c r="G7" s="103">
        <v>0.5</v>
      </c>
    </row>
    <row r="8">
      <c r="B8" s="104" t="s">
        <v>67</v>
      </c>
      <c r="C8" s="133"/>
      <c r="D8" s="151">
        <f t="shared" ref="D8:G8" si="1">SUM(D4:D7)</f>
        <v>3</v>
      </c>
      <c r="E8" s="151">
        <f t="shared" si="1"/>
        <v>3</v>
      </c>
      <c r="F8" s="134">
        <f t="shared" si="1"/>
        <v>2</v>
      </c>
      <c r="G8" s="134">
        <f t="shared" si="1"/>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C3"/>
    <mergeCell ref="B4:C4"/>
    <mergeCell ref="B5:C5"/>
    <mergeCell ref="B6:C6"/>
    <mergeCell ref="B7:C7"/>
    <mergeCell ref="B8:C8"/>
  </mergeCells>
  <printOptions/>
  <pageMargins bottom="0.75" footer="0.0" header="0.0" left="0.7" right="0.7" top="0.75"/>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8.0"/>
    <col customWidth="1" min="3" max="3" width="0.57"/>
    <col customWidth="1" min="4" max="4" width="18.0"/>
    <col customWidth="1" min="5" max="5" width="8.71"/>
    <col customWidth="1" min="6" max="6" width="11.0"/>
    <col customWidth="1" min="7" max="7" width="12.29"/>
    <col customWidth="1" min="8" max="8" width="14.43"/>
    <col customWidth="1" min="9" max="26" width="8.71"/>
  </cols>
  <sheetData>
    <row r="1">
      <c r="A1" s="2"/>
      <c r="B1" s="4"/>
      <c r="C1" s="4"/>
      <c r="D1" s="4"/>
    </row>
    <row r="2" ht="15.0" customHeight="1">
      <c r="A2" s="2"/>
      <c r="B2" s="111" t="s">
        <v>107</v>
      </c>
      <c r="C2" s="9"/>
      <c r="D2" s="9"/>
      <c r="E2" s="10"/>
      <c r="F2" s="11" t="s">
        <v>8</v>
      </c>
      <c r="G2" s="13"/>
      <c r="H2" s="15"/>
    </row>
    <row r="3" ht="18.0" customHeight="1">
      <c r="A3" s="2"/>
      <c r="B3" s="16"/>
      <c r="E3" s="17"/>
      <c r="F3" s="18" t="s">
        <v>11</v>
      </c>
      <c r="G3" s="19" t="s">
        <v>12</v>
      </c>
      <c r="H3" s="20" t="s">
        <v>13</v>
      </c>
    </row>
    <row r="4" ht="15.0" customHeight="1">
      <c r="A4" s="2"/>
      <c r="B4" s="21"/>
      <c r="C4" s="22"/>
      <c r="D4" s="22"/>
      <c r="E4" s="23"/>
      <c r="F4" s="25">
        <v>0.5</v>
      </c>
      <c r="G4" s="25">
        <v>1.0</v>
      </c>
      <c r="H4" s="26">
        <v>0.5</v>
      </c>
    </row>
    <row r="5" ht="15.0" customHeight="1">
      <c r="A5" s="2"/>
      <c r="B5" s="29" t="s">
        <v>16</v>
      </c>
      <c r="C5" s="31"/>
      <c r="D5" s="32" t="s">
        <v>18</v>
      </c>
      <c r="E5" s="33">
        <v>0.0</v>
      </c>
      <c r="F5" s="154">
        <f>E5*F4</f>
        <v>0</v>
      </c>
      <c r="G5" s="152">
        <f t="shared" ref="G5:G9" si="1">E5*$G$4</f>
        <v>0</v>
      </c>
      <c r="H5" s="153">
        <f t="shared" ref="H5:H9" si="2">E5*$H$4</f>
        <v>0</v>
      </c>
    </row>
    <row r="6">
      <c r="A6" s="2"/>
      <c r="B6" s="16"/>
      <c r="C6" s="40"/>
      <c r="D6" s="41" t="s">
        <v>22</v>
      </c>
      <c r="E6" s="43">
        <v>0.5</v>
      </c>
      <c r="F6" s="117">
        <f t="shared" ref="F6:F9" si="3">E6*$F$4</f>
        <v>0.25</v>
      </c>
      <c r="G6" s="118">
        <f t="shared" si="1"/>
        <v>0.5</v>
      </c>
      <c r="H6" s="136">
        <f t="shared" si="2"/>
        <v>0.25</v>
      </c>
    </row>
    <row r="7">
      <c r="A7" s="2"/>
      <c r="B7" s="16"/>
      <c r="C7" s="40"/>
      <c r="D7" s="41" t="s">
        <v>24</v>
      </c>
      <c r="E7" s="43">
        <v>0.5</v>
      </c>
      <c r="F7" s="123">
        <f t="shared" si="3"/>
        <v>0.25</v>
      </c>
      <c r="G7" s="118">
        <f t="shared" si="1"/>
        <v>0.5</v>
      </c>
      <c r="H7" s="136">
        <f t="shared" si="2"/>
        <v>0.25</v>
      </c>
    </row>
    <row r="8">
      <c r="A8" s="2"/>
      <c r="B8" s="16"/>
      <c r="C8" s="40"/>
      <c r="D8" s="41" t="s">
        <v>26</v>
      </c>
      <c r="E8" s="43">
        <v>0.5</v>
      </c>
      <c r="F8" s="123">
        <f t="shared" si="3"/>
        <v>0.25</v>
      </c>
      <c r="G8" s="118">
        <f t="shared" si="1"/>
        <v>0.5</v>
      </c>
      <c r="H8" s="136">
        <f t="shared" si="2"/>
        <v>0.25</v>
      </c>
    </row>
    <row r="9">
      <c r="A9" s="2"/>
      <c r="B9" s="21"/>
      <c r="C9" s="55"/>
      <c r="D9" s="57" t="s">
        <v>28</v>
      </c>
      <c r="E9" s="59">
        <v>0.0</v>
      </c>
      <c r="F9" s="140">
        <f t="shared" si="3"/>
        <v>0</v>
      </c>
      <c r="G9" s="141">
        <f t="shared" si="1"/>
        <v>0</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6.57"/>
    <col customWidth="1" hidden="1" min="3" max="3" width="15.71"/>
    <col customWidth="1" min="4" max="4" width="18.0"/>
    <col customWidth="1" min="5" max="5" width="8.71"/>
    <col customWidth="1" min="6" max="6" width="11.0"/>
    <col customWidth="1" min="7" max="7" width="12.29"/>
    <col customWidth="1" min="8" max="8" width="14.43"/>
    <col customWidth="1" min="9" max="26" width="8.71"/>
  </cols>
  <sheetData>
    <row r="1">
      <c r="A1" s="2"/>
      <c r="B1" s="4"/>
      <c r="C1" s="4"/>
      <c r="D1" s="4"/>
    </row>
    <row r="2" ht="15.0" customHeight="1">
      <c r="A2" s="2"/>
      <c r="B2" s="111" t="s">
        <v>108</v>
      </c>
      <c r="C2" s="9"/>
      <c r="D2" s="9"/>
      <c r="E2" s="10"/>
      <c r="F2" s="11" t="s">
        <v>8</v>
      </c>
      <c r="G2" s="13"/>
      <c r="H2" s="15"/>
    </row>
    <row r="3" ht="18.0" customHeight="1">
      <c r="A3" s="2"/>
      <c r="B3" s="16"/>
      <c r="E3" s="17"/>
      <c r="F3" s="18" t="s">
        <v>11</v>
      </c>
      <c r="G3" s="19" t="s">
        <v>12</v>
      </c>
      <c r="H3" s="20" t="s">
        <v>13</v>
      </c>
    </row>
    <row r="4" ht="13.5" customHeight="1">
      <c r="A4" s="2"/>
      <c r="B4" s="21"/>
      <c r="C4" s="22"/>
      <c r="D4" s="22"/>
      <c r="E4" s="23"/>
      <c r="F4" s="25">
        <v>1.0</v>
      </c>
      <c r="G4" s="25">
        <v>1.0</v>
      </c>
      <c r="H4" s="26">
        <v>1.0</v>
      </c>
    </row>
    <row r="5" ht="15.0" customHeight="1">
      <c r="A5" s="2"/>
      <c r="B5" s="29" t="s">
        <v>16</v>
      </c>
      <c r="C5" s="31"/>
      <c r="D5" s="32" t="s">
        <v>18</v>
      </c>
      <c r="E5" s="33">
        <v>0.5</v>
      </c>
      <c r="F5" s="127">
        <f>E5*F4</f>
        <v>0.5</v>
      </c>
      <c r="G5" s="115">
        <f t="shared" ref="G5:G9" si="1">E5*$G$4</f>
        <v>0.5</v>
      </c>
      <c r="H5" s="116">
        <f t="shared" ref="H5:H9" si="2">E5*$H$4</f>
        <v>0.5</v>
      </c>
    </row>
    <row r="6">
      <c r="A6" s="2"/>
      <c r="B6" s="16"/>
      <c r="C6" s="40"/>
      <c r="D6" s="41" t="s">
        <v>22</v>
      </c>
      <c r="E6" s="43">
        <v>1.0</v>
      </c>
      <c r="F6" s="177">
        <f t="shared" ref="F6:F9" si="3">E6*$F$4</f>
        <v>1</v>
      </c>
      <c r="G6" s="121">
        <f t="shared" si="1"/>
        <v>1</v>
      </c>
      <c r="H6" s="122">
        <f t="shared" si="2"/>
        <v>1</v>
      </c>
    </row>
    <row r="7">
      <c r="A7" s="2"/>
      <c r="B7" s="16"/>
      <c r="C7" s="40"/>
      <c r="D7" s="41" t="s">
        <v>24</v>
      </c>
      <c r="E7" s="43">
        <v>0.5</v>
      </c>
      <c r="F7" s="120">
        <f t="shared" si="3"/>
        <v>0.5</v>
      </c>
      <c r="G7" s="118">
        <f t="shared" si="1"/>
        <v>0.5</v>
      </c>
      <c r="H7" s="119">
        <f t="shared" si="2"/>
        <v>0.5</v>
      </c>
    </row>
    <row r="8">
      <c r="A8" s="2"/>
      <c r="B8" s="16"/>
      <c r="C8" s="40"/>
      <c r="D8" s="41" t="s">
        <v>26</v>
      </c>
      <c r="E8" s="43">
        <v>0.0</v>
      </c>
      <c r="F8" s="137">
        <f t="shared" si="3"/>
        <v>0</v>
      </c>
      <c r="G8" s="138">
        <f t="shared" si="1"/>
        <v>0</v>
      </c>
      <c r="H8" s="139">
        <f t="shared" si="2"/>
        <v>0</v>
      </c>
    </row>
    <row r="9">
      <c r="A9" s="2"/>
      <c r="B9" s="21"/>
      <c r="C9" s="55"/>
      <c r="D9" s="57" t="s">
        <v>28</v>
      </c>
      <c r="E9" s="59">
        <v>0.0</v>
      </c>
      <c r="F9" s="140">
        <f t="shared" si="3"/>
        <v>0</v>
      </c>
      <c r="G9" s="141">
        <f t="shared" si="1"/>
        <v>0</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6.86"/>
    <col customWidth="1" hidden="1" min="3" max="3" width="15.71"/>
    <col customWidth="1" min="4" max="4" width="18.0"/>
    <col customWidth="1" min="5" max="5" width="8.71"/>
    <col customWidth="1" min="6" max="6" width="11.0"/>
    <col customWidth="1" min="7" max="7" width="12.29"/>
    <col customWidth="1" min="8" max="8" width="14.43"/>
    <col customWidth="1" min="9" max="26" width="8.71"/>
  </cols>
  <sheetData>
    <row r="1">
      <c r="A1" s="2"/>
      <c r="B1" s="4"/>
      <c r="C1" s="4"/>
      <c r="D1" s="4"/>
    </row>
    <row r="2" ht="15.0" customHeight="1">
      <c r="A2" s="2"/>
      <c r="B2" s="111" t="s">
        <v>109</v>
      </c>
      <c r="C2" s="9"/>
      <c r="D2" s="9"/>
      <c r="E2" s="10"/>
      <c r="F2" s="11" t="s">
        <v>8</v>
      </c>
      <c r="G2" s="13"/>
      <c r="H2" s="15"/>
    </row>
    <row r="3" ht="15.0" customHeight="1">
      <c r="A3" s="2"/>
      <c r="B3" s="16"/>
      <c r="E3" s="17"/>
      <c r="F3" s="18" t="s">
        <v>11</v>
      </c>
      <c r="G3" s="19" t="s">
        <v>12</v>
      </c>
      <c r="H3" s="20" t="s">
        <v>13</v>
      </c>
    </row>
    <row r="4" ht="14.25" customHeight="1">
      <c r="A4" s="2"/>
      <c r="B4" s="21"/>
      <c r="C4" s="22"/>
      <c r="D4" s="22"/>
      <c r="E4" s="23"/>
      <c r="F4" s="25">
        <v>1.0</v>
      </c>
      <c r="G4" s="25">
        <v>1.0</v>
      </c>
      <c r="H4" s="26">
        <v>0.5</v>
      </c>
    </row>
    <row r="5" ht="15.0" customHeight="1">
      <c r="A5" s="2"/>
      <c r="B5" s="29" t="s">
        <v>16</v>
      </c>
      <c r="C5" s="31"/>
      <c r="D5" s="32" t="s">
        <v>18</v>
      </c>
      <c r="E5" s="33">
        <v>0.0</v>
      </c>
      <c r="F5" s="154">
        <f>E5*F4</f>
        <v>0</v>
      </c>
      <c r="G5" s="152">
        <f t="shared" ref="G5:G9" si="1">E5*$G$4</f>
        <v>0</v>
      </c>
      <c r="H5" s="153">
        <f t="shared" ref="H5:H9" si="2">E5*$H$4</f>
        <v>0</v>
      </c>
    </row>
    <row r="6">
      <c r="A6" s="2"/>
      <c r="B6" s="16"/>
      <c r="C6" s="40"/>
      <c r="D6" s="41" t="s">
        <v>22</v>
      </c>
      <c r="E6" s="43">
        <v>1.0</v>
      </c>
      <c r="F6" s="177">
        <f t="shared" ref="F6:F9" si="3">E6*$F$4</f>
        <v>1</v>
      </c>
      <c r="G6" s="121">
        <f t="shared" si="1"/>
        <v>1</v>
      </c>
      <c r="H6" s="119">
        <f t="shared" si="2"/>
        <v>0.5</v>
      </c>
    </row>
    <row r="7">
      <c r="A7" s="2"/>
      <c r="B7" s="16"/>
      <c r="C7" s="40"/>
      <c r="D7" s="41" t="s">
        <v>24</v>
      </c>
      <c r="E7" s="43">
        <v>0.5</v>
      </c>
      <c r="F7" s="120">
        <f t="shared" si="3"/>
        <v>0.5</v>
      </c>
      <c r="G7" s="118">
        <f t="shared" si="1"/>
        <v>0.5</v>
      </c>
      <c r="H7" s="136">
        <f t="shared" si="2"/>
        <v>0.25</v>
      </c>
    </row>
    <row r="8">
      <c r="A8" s="2"/>
      <c r="B8" s="16"/>
      <c r="C8" s="40"/>
      <c r="D8" s="41" t="s">
        <v>26</v>
      </c>
      <c r="E8" s="43">
        <v>0.0</v>
      </c>
      <c r="F8" s="137">
        <f t="shared" si="3"/>
        <v>0</v>
      </c>
      <c r="G8" s="138">
        <f t="shared" si="1"/>
        <v>0</v>
      </c>
      <c r="H8" s="139">
        <f t="shared" si="2"/>
        <v>0</v>
      </c>
    </row>
    <row r="9">
      <c r="A9" s="2"/>
      <c r="B9" s="21"/>
      <c r="C9" s="55"/>
      <c r="D9" s="57" t="s">
        <v>28</v>
      </c>
      <c r="E9" s="59">
        <v>0.0</v>
      </c>
      <c r="F9" s="140">
        <f t="shared" si="3"/>
        <v>0</v>
      </c>
      <c r="G9" s="141">
        <f t="shared" si="1"/>
        <v>0</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18.0"/>
    <col customWidth="1" min="3" max="3" width="0.57"/>
    <col customWidth="1" min="4" max="4" width="18.0"/>
    <col customWidth="1" min="5" max="5" width="8.71"/>
    <col customWidth="1" min="6" max="7" width="13.43"/>
    <col customWidth="1" min="8" max="8" width="15.14"/>
    <col customWidth="1" min="9" max="26" width="8.71"/>
  </cols>
  <sheetData>
    <row r="1">
      <c r="A1" s="2"/>
      <c r="B1" s="4"/>
      <c r="C1" s="4"/>
      <c r="D1" s="4"/>
    </row>
    <row r="2" ht="15.0" customHeight="1">
      <c r="A2" s="2"/>
      <c r="B2" s="111" t="s">
        <v>110</v>
      </c>
      <c r="C2" s="9"/>
      <c r="D2" s="9"/>
      <c r="E2" s="10"/>
      <c r="F2" s="11" t="s">
        <v>8</v>
      </c>
      <c r="G2" s="13"/>
      <c r="H2" s="15"/>
    </row>
    <row r="3" ht="31.5" customHeight="1">
      <c r="A3" s="2"/>
      <c r="B3" s="16"/>
      <c r="E3" s="17"/>
      <c r="F3" s="18" t="s">
        <v>11</v>
      </c>
      <c r="G3" s="19" t="s">
        <v>12</v>
      </c>
      <c r="H3" s="20" t="s">
        <v>13</v>
      </c>
    </row>
    <row r="4" ht="20.25" customHeight="1">
      <c r="A4" s="2"/>
      <c r="B4" s="21"/>
      <c r="C4" s="22"/>
      <c r="D4" s="22"/>
      <c r="E4" s="23"/>
      <c r="F4" s="25">
        <v>1.0</v>
      </c>
      <c r="G4" s="25">
        <v>1.0</v>
      </c>
      <c r="H4" s="26">
        <v>1.0</v>
      </c>
    </row>
    <row r="5" ht="15.0" customHeight="1">
      <c r="A5" s="2"/>
      <c r="B5" s="29" t="s">
        <v>16</v>
      </c>
      <c r="C5" s="31"/>
      <c r="D5" s="32" t="s">
        <v>18</v>
      </c>
      <c r="E5" s="33">
        <v>0.0</v>
      </c>
      <c r="F5" s="154">
        <f>E5*F4</f>
        <v>0</v>
      </c>
      <c r="G5" s="152">
        <f t="shared" ref="G5:G9" si="1">E5*$G$4</f>
        <v>0</v>
      </c>
      <c r="H5" s="153">
        <f t="shared" ref="H5:H9" si="2">E5*$H$4</f>
        <v>0</v>
      </c>
    </row>
    <row r="6">
      <c r="A6" s="2"/>
      <c r="B6" s="16"/>
      <c r="C6" s="40"/>
      <c r="D6" s="41" t="s">
        <v>22</v>
      </c>
      <c r="E6" s="43">
        <v>1.0</v>
      </c>
      <c r="F6" s="177">
        <f t="shared" ref="F6:F9" si="3">E6*$F$4</f>
        <v>1</v>
      </c>
      <c r="G6" s="121">
        <f t="shared" si="1"/>
        <v>1</v>
      </c>
      <c r="H6" s="122">
        <f t="shared" si="2"/>
        <v>1</v>
      </c>
    </row>
    <row r="7">
      <c r="A7" s="2"/>
      <c r="B7" s="16"/>
      <c r="C7" s="40"/>
      <c r="D7" s="41" t="s">
        <v>24</v>
      </c>
      <c r="E7" s="43">
        <v>0.5</v>
      </c>
      <c r="F7" s="120">
        <f t="shared" si="3"/>
        <v>0.5</v>
      </c>
      <c r="G7" s="118">
        <f t="shared" si="1"/>
        <v>0.5</v>
      </c>
      <c r="H7" s="119">
        <f t="shared" si="2"/>
        <v>0.5</v>
      </c>
    </row>
    <row r="8">
      <c r="A8" s="2"/>
      <c r="B8" s="16"/>
      <c r="C8" s="40"/>
      <c r="D8" s="41" t="s">
        <v>26</v>
      </c>
      <c r="E8" s="43">
        <v>0.0</v>
      </c>
      <c r="F8" s="137">
        <f t="shared" si="3"/>
        <v>0</v>
      </c>
      <c r="G8" s="138">
        <f t="shared" si="1"/>
        <v>0</v>
      </c>
      <c r="H8" s="139">
        <f t="shared" si="2"/>
        <v>0</v>
      </c>
    </row>
    <row r="9">
      <c r="A9" s="2"/>
      <c r="B9" s="21"/>
      <c r="C9" s="55"/>
      <c r="D9" s="57" t="s">
        <v>28</v>
      </c>
      <c r="E9" s="59">
        <v>0.0</v>
      </c>
      <c r="F9" s="140">
        <f t="shared" si="3"/>
        <v>0</v>
      </c>
      <c r="G9" s="141">
        <f t="shared" si="1"/>
        <v>0</v>
      </c>
      <c r="H9" s="142">
        <f t="shared" si="2"/>
        <v>0</v>
      </c>
    </row>
    <row r="10">
      <c r="A10" s="2"/>
    </row>
    <row r="11">
      <c r="A11" s="63"/>
    </row>
    <row r="12">
      <c r="A12" s="63"/>
    </row>
    <row r="13">
      <c r="A13" s="63"/>
    </row>
    <row r="14">
      <c r="A14" s="63"/>
    </row>
    <row r="15">
      <c r="A15" s="63"/>
    </row>
    <row r="16">
      <c r="A16" s="63"/>
    </row>
    <row r="17">
      <c r="A17" s="63"/>
    </row>
    <row r="18">
      <c r="A18" s="63"/>
    </row>
    <row r="19">
      <c r="A19" s="63"/>
    </row>
    <row r="20">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c r="A216" s="63"/>
    </row>
    <row r="217" ht="15.75" customHeight="1">
      <c r="A217" s="63"/>
    </row>
    <row r="218" ht="15.75" customHeight="1">
      <c r="A218" s="63"/>
    </row>
    <row r="219" ht="15.75" customHeight="1">
      <c r="A219" s="63"/>
    </row>
    <row r="220" ht="15.75" customHeight="1">
      <c r="A220" s="63"/>
    </row>
    <row r="221" ht="15.75" customHeight="1">
      <c r="A221" s="63"/>
    </row>
    <row r="222" ht="15.75" customHeight="1">
      <c r="A222" s="63"/>
    </row>
    <row r="223" ht="15.75" customHeight="1">
      <c r="A223" s="63"/>
    </row>
    <row r="224" ht="15.75" customHeight="1">
      <c r="A224" s="63"/>
    </row>
    <row r="225" ht="15.75" customHeight="1">
      <c r="A225" s="63"/>
    </row>
    <row r="226" ht="15.75" customHeight="1">
      <c r="A226" s="63"/>
    </row>
    <row r="227" ht="15.75" customHeight="1">
      <c r="A227" s="63"/>
    </row>
    <row r="228" ht="15.75" customHeight="1">
      <c r="A228" s="63"/>
    </row>
    <row r="229" ht="15.75" customHeight="1">
      <c r="A229" s="63"/>
    </row>
    <row r="230" ht="15.75" customHeight="1">
      <c r="A230" s="63"/>
    </row>
    <row r="231" ht="15.75" customHeight="1">
      <c r="A231" s="63"/>
    </row>
    <row r="232" ht="15.75" customHeight="1">
      <c r="A232" s="63"/>
    </row>
    <row r="233" ht="15.75" customHeight="1">
      <c r="A233" s="63"/>
    </row>
    <row r="234" ht="15.75" customHeight="1">
      <c r="A234" s="63"/>
    </row>
    <row r="235" ht="15.75" customHeight="1">
      <c r="A235" s="63"/>
    </row>
    <row r="236" ht="15.75" customHeight="1">
      <c r="A236" s="63"/>
    </row>
    <row r="237" ht="15.75" customHeight="1">
      <c r="A237" s="63"/>
    </row>
    <row r="238" ht="15.75" customHeight="1">
      <c r="A238" s="63"/>
    </row>
    <row r="239" ht="15.75" customHeight="1">
      <c r="A239" s="63"/>
    </row>
    <row r="240" ht="15.75" customHeight="1">
      <c r="A240" s="63"/>
    </row>
    <row r="241" ht="15.75" customHeight="1">
      <c r="A241" s="63"/>
    </row>
    <row r="242" ht="15.75" customHeight="1">
      <c r="A242" s="63"/>
    </row>
    <row r="243" ht="15.75" customHeight="1">
      <c r="A243" s="63"/>
    </row>
    <row r="244" ht="15.75" customHeight="1">
      <c r="A244" s="63"/>
    </row>
    <row r="245" ht="15.75" customHeight="1">
      <c r="A245" s="63"/>
    </row>
    <row r="246" ht="15.75" customHeight="1">
      <c r="A246" s="63"/>
    </row>
    <row r="247" ht="15.75" customHeight="1">
      <c r="A247" s="63"/>
    </row>
    <row r="248" ht="15.75" customHeight="1">
      <c r="A248" s="63"/>
    </row>
    <row r="249" ht="15.75" customHeight="1">
      <c r="A249" s="63"/>
    </row>
    <row r="250" ht="15.75" customHeight="1">
      <c r="A250" s="63"/>
    </row>
    <row r="251" ht="15.75" customHeight="1">
      <c r="A251" s="63"/>
    </row>
    <row r="252" ht="15.75" customHeight="1">
      <c r="A252" s="63"/>
    </row>
    <row r="253" ht="15.75" customHeight="1">
      <c r="A253" s="63"/>
    </row>
    <row r="254" ht="15.75" customHeight="1">
      <c r="A254" s="63"/>
    </row>
    <row r="255" ht="15.75" customHeight="1">
      <c r="A255" s="63"/>
    </row>
    <row r="256" ht="15.75" customHeight="1">
      <c r="A256" s="63"/>
    </row>
    <row r="257" ht="15.75" customHeight="1">
      <c r="A257" s="63"/>
    </row>
    <row r="258" ht="15.75" customHeight="1">
      <c r="A258" s="63"/>
    </row>
    <row r="259" ht="15.75" customHeight="1">
      <c r="A259" s="63"/>
    </row>
    <row r="260" ht="15.75" customHeight="1">
      <c r="A260" s="63"/>
    </row>
    <row r="261" ht="15.75" customHeight="1">
      <c r="A261" s="63"/>
    </row>
    <row r="262" ht="15.75" customHeight="1">
      <c r="A262" s="63"/>
    </row>
    <row r="263" ht="15.75" customHeight="1">
      <c r="A263" s="63"/>
    </row>
    <row r="264" ht="15.75" customHeight="1">
      <c r="A264" s="63"/>
    </row>
    <row r="265" ht="15.75" customHeight="1">
      <c r="A265" s="63"/>
    </row>
    <row r="266" ht="15.75" customHeight="1">
      <c r="A266" s="63"/>
    </row>
    <row r="267" ht="15.75" customHeight="1">
      <c r="A267" s="63"/>
    </row>
    <row r="268" ht="15.75" customHeight="1">
      <c r="A268" s="63"/>
    </row>
    <row r="269" ht="15.75" customHeight="1">
      <c r="A269" s="63"/>
    </row>
    <row r="270" ht="15.75" customHeight="1">
      <c r="A270" s="63"/>
    </row>
    <row r="271" ht="15.75" customHeight="1">
      <c r="A271" s="63"/>
    </row>
    <row r="272" ht="15.75" customHeight="1">
      <c r="A272" s="63"/>
    </row>
    <row r="273" ht="15.75" customHeight="1">
      <c r="A273" s="63"/>
    </row>
    <row r="274" ht="15.75" customHeight="1">
      <c r="A274" s="63"/>
    </row>
    <row r="275" ht="15.75" customHeight="1">
      <c r="A275" s="63"/>
    </row>
    <row r="276" ht="15.75" customHeight="1">
      <c r="A276" s="63"/>
    </row>
    <row r="277" ht="15.75" customHeight="1">
      <c r="A277" s="63"/>
    </row>
    <row r="278" ht="15.75" customHeight="1">
      <c r="A278" s="63"/>
    </row>
    <row r="279" ht="15.75" customHeight="1">
      <c r="A279" s="63"/>
    </row>
    <row r="280" ht="15.75" customHeight="1">
      <c r="A280" s="63"/>
    </row>
    <row r="281" ht="15.75" customHeight="1">
      <c r="A281" s="63"/>
    </row>
    <row r="282" ht="15.75" customHeight="1">
      <c r="A282" s="63"/>
    </row>
    <row r="283" ht="15.75" customHeight="1">
      <c r="A283" s="63"/>
    </row>
    <row r="284" ht="15.75" customHeight="1">
      <c r="A284" s="63"/>
    </row>
    <row r="285" ht="15.75" customHeight="1">
      <c r="A285" s="63"/>
    </row>
    <row r="286" ht="15.75" customHeight="1">
      <c r="A286" s="63"/>
    </row>
    <row r="287" ht="15.75" customHeight="1">
      <c r="A287" s="63"/>
    </row>
    <row r="288" ht="15.75" customHeight="1">
      <c r="A288" s="63"/>
    </row>
    <row r="289" ht="15.75" customHeight="1">
      <c r="A289" s="63"/>
    </row>
    <row r="290" ht="15.75" customHeight="1">
      <c r="A290" s="63"/>
    </row>
    <row r="291" ht="15.75" customHeight="1">
      <c r="A291" s="63"/>
    </row>
    <row r="292" ht="15.75" customHeight="1">
      <c r="A292" s="63"/>
    </row>
    <row r="293" ht="15.75" customHeight="1">
      <c r="A293" s="63"/>
    </row>
    <row r="294" ht="15.75" customHeight="1">
      <c r="A294" s="63"/>
    </row>
    <row r="295" ht="15.75" customHeight="1">
      <c r="A295" s="63"/>
    </row>
    <row r="296" ht="15.75" customHeight="1">
      <c r="A296" s="63"/>
    </row>
    <row r="297" ht="15.75" customHeight="1">
      <c r="A297" s="63"/>
    </row>
    <row r="298" ht="15.75" customHeight="1">
      <c r="A298" s="63"/>
    </row>
    <row r="299" ht="15.75" customHeight="1">
      <c r="A299" s="63"/>
    </row>
    <row r="300" ht="15.75" customHeight="1">
      <c r="A300" s="63"/>
    </row>
    <row r="301" ht="15.75" customHeight="1">
      <c r="A301" s="63"/>
    </row>
    <row r="302" ht="15.75" customHeight="1">
      <c r="A302" s="63"/>
    </row>
    <row r="303" ht="15.75" customHeight="1">
      <c r="A303" s="63"/>
    </row>
    <row r="304" ht="15.75" customHeight="1">
      <c r="A304" s="63"/>
    </row>
    <row r="305" ht="15.75" customHeight="1">
      <c r="A305" s="63"/>
    </row>
    <row r="306" ht="15.75" customHeight="1">
      <c r="A306" s="63"/>
    </row>
    <row r="307" ht="15.75" customHeight="1">
      <c r="A307" s="63"/>
    </row>
    <row r="308" ht="15.75" customHeight="1">
      <c r="A308" s="63"/>
    </row>
    <row r="309" ht="15.75" customHeight="1">
      <c r="A309" s="63"/>
    </row>
    <row r="310" ht="15.75" customHeight="1">
      <c r="A310" s="63"/>
    </row>
    <row r="311" ht="15.75" customHeight="1">
      <c r="A311" s="63"/>
    </row>
    <row r="312" ht="15.75" customHeight="1">
      <c r="A312" s="63"/>
    </row>
    <row r="313" ht="15.75" customHeight="1">
      <c r="A313" s="63"/>
    </row>
    <row r="314" ht="15.75" customHeight="1">
      <c r="A314" s="63"/>
    </row>
    <row r="315" ht="15.75" customHeight="1">
      <c r="A315" s="63"/>
    </row>
    <row r="316" ht="15.75" customHeight="1">
      <c r="A316" s="63"/>
    </row>
    <row r="317" ht="15.75" customHeight="1">
      <c r="A317" s="63"/>
    </row>
    <row r="318" ht="15.75" customHeight="1">
      <c r="A318" s="63"/>
    </row>
    <row r="319" ht="15.75" customHeight="1">
      <c r="A319" s="63"/>
    </row>
    <row r="320" ht="15.75" customHeight="1">
      <c r="A320" s="63"/>
    </row>
    <row r="321" ht="15.75" customHeight="1">
      <c r="A321" s="63"/>
    </row>
    <row r="322" ht="15.75" customHeight="1">
      <c r="A322" s="63"/>
    </row>
    <row r="323" ht="15.75" customHeight="1">
      <c r="A323" s="63"/>
    </row>
    <row r="324" ht="15.75" customHeight="1">
      <c r="A324" s="63"/>
    </row>
    <row r="325" ht="15.75" customHeight="1">
      <c r="A325" s="63"/>
    </row>
    <row r="326" ht="15.75" customHeight="1">
      <c r="A326" s="63"/>
    </row>
    <row r="327" ht="15.75" customHeight="1">
      <c r="A327" s="63"/>
    </row>
    <row r="328" ht="15.75" customHeight="1">
      <c r="A328" s="63"/>
    </row>
    <row r="329" ht="15.75" customHeight="1">
      <c r="A329" s="63"/>
    </row>
    <row r="330" ht="15.75" customHeight="1">
      <c r="A330" s="63"/>
    </row>
    <row r="331" ht="15.75" customHeight="1">
      <c r="A331" s="63"/>
    </row>
    <row r="332" ht="15.75" customHeight="1">
      <c r="A332" s="63"/>
    </row>
    <row r="333" ht="15.75" customHeight="1">
      <c r="A333" s="63"/>
    </row>
    <row r="334" ht="15.75" customHeight="1">
      <c r="A334" s="63"/>
    </row>
    <row r="335" ht="15.75" customHeight="1">
      <c r="A335" s="63"/>
    </row>
    <row r="336" ht="15.75" customHeight="1">
      <c r="A336" s="63"/>
    </row>
    <row r="337" ht="15.75" customHeight="1">
      <c r="A337" s="63"/>
    </row>
    <row r="338" ht="15.75" customHeight="1">
      <c r="A338" s="63"/>
    </row>
    <row r="339" ht="15.75" customHeight="1">
      <c r="A339" s="63"/>
    </row>
    <row r="340" ht="15.75" customHeight="1">
      <c r="A340" s="63"/>
    </row>
    <row r="341" ht="15.75" customHeight="1">
      <c r="A341" s="63"/>
    </row>
    <row r="342" ht="15.75" customHeight="1">
      <c r="A342" s="63"/>
    </row>
    <row r="343" ht="15.75" customHeight="1">
      <c r="A343" s="63"/>
    </row>
    <row r="344" ht="15.75" customHeight="1">
      <c r="A344" s="63"/>
    </row>
    <row r="345" ht="15.75" customHeight="1">
      <c r="A345" s="63"/>
    </row>
    <row r="346" ht="15.75" customHeight="1">
      <c r="A346" s="63"/>
    </row>
    <row r="347" ht="15.75" customHeight="1">
      <c r="A347" s="63"/>
    </row>
    <row r="348" ht="15.75" customHeight="1">
      <c r="A348" s="63"/>
    </row>
    <row r="349" ht="15.75" customHeight="1">
      <c r="A349" s="63"/>
    </row>
    <row r="350" ht="15.75" customHeight="1">
      <c r="A350" s="63"/>
    </row>
    <row r="351" ht="15.75" customHeight="1">
      <c r="A351" s="63"/>
    </row>
    <row r="352" ht="15.75" customHeight="1">
      <c r="A352" s="63"/>
    </row>
    <row r="353" ht="15.75" customHeight="1">
      <c r="A353" s="63"/>
    </row>
    <row r="354" ht="15.75" customHeight="1">
      <c r="A354" s="63"/>
    </row>
    <row r="355" ht="15.75" customHeight="1">
      <c r="A355" s="63"/>
    </row>
    <row r="356" ht="15.75" customHeight="1">
      <c r="A356" s="63"/>
    </row>
    <row r="357" ht="15.75" customHeight="1">
      <c r="A357" s="63"/>
    </row>
    <row r="358" ht="15.75" customHeight="1">
      <c r="A358" s="63"/>
    </row>
    <row r="359" ht="15.75" customHeight="1">
      <c r="A359" s="63"/>
    </row>
    <row r="360" ht="15.75" customHeight="1">
      <c r="A360" s="63"/>
    </row>
    <row r="361" ht="15.75" customHeight="1">
      <c r="A361" s="63"/>
    </row>
    <row r="362" ht="15.75" customHeight="1">
      <c r="A362" s="63"/>
    </row>
    <row r="363" ht="15.75" customHeight="1">
      <c r="A363" s="63"/>
    </row>
    <row r="364" ht="15.75" customHeight="1">
      <c r="A364" s="63"/>
    </row>
    <row r="365" ht="15.75" customHeight="1">
      <c r="A365" s="63"/>
    </row>
    <row r="366" ht="15.75" customHeight="1">
      <c r="A366" s="63"/>
    </row>
    <row r="367" ht="15.75" customHeight="1">
      <c r="A367" s="63"/>
    </row>
    <row r="368" ht="15.75" customHeight="1">
      <c r="A368" s="63"/>
    </row>
    <row r="369" ht="15.75" customHeight="1">
      <c r="A369" s="63"/>
    </row>
    <row r="370" ht="15.75" customHeight="1">
      <c r="A370" s="63"/>
    </row>
    <row r="371" ht="15.75" customHeight="1">
      <c r="A371" s="63"/>
    </row>
    <row r="372" ht="15.75" customHeight="1">
      <c r="A372" s="63"/>
    </row>
    <row r="373" ht="15.75" customHeight="1">
      <c r="A373" s="63"/>
    </row>
    <row r="374" ht="15.75" customHeight="1">
      <c r="A374" s="63"/>
    </row>
    <row r="375" ht="15.75" customHeight="1">
      <c r="A375" s="63"/>
    </row>
    <row r="376" ht="15.75" customHeight="1">
      <c r="A376" s="63"/>
    </row>
    <row r="377" ht="15.75" customHeight="1">
      <c r="A377" s="63"/>
    </row>
    <row r="378" ht="15.75" customHeight="1">
      <c r="A378" s="63"/>
    </row>
    <row r="379" ht="15.75" customHeight="1">
      <c r="A379" s="63"/>
    </row>
    <row r="380" ht="15.75" customHeight="1">
      <c r="A380" s="63"/>
    </row>
    <row r="381" ht="15.75" customHeight="1">
      <c r="A381" s="63"/>
    </row>
    <row r="382" ht="15.75" customHeight="1">
      <c r="A382" s="63"/>
    </row>
    <row r="383" ht="15.75" customHeight="1">
      <c r="A383" s="63"/>
    </row>
    <row r="384" ht="15.75" customHeight="1">
      <c r="A384" s="63"/>
    </row>
    <row r="385" ht="15.75" customHeight="1">
      <c r="A385" s="63"/>
    </row>
    <row r="386" ht="15.75" customHeight="1">
      <c r="A386" s="63"/>
    </row>
    <row r="387" ht="15.75" customHeight="1">
      <c r="A387" s="63"/>
    </row>
    <row r="388" ht="15.75" customHeight="1">
      <c r="A388" s="63"/>
    </row>
    <row r="389" ht="15.75" customHeight="1">
      <c r="A389" s="63"/>
    </row>
    <row r="390" ht="15.75" customHeight="1">
      <c r="A390" s="63"/>
    </row>
    <row r="391" ht="15.75" customHeight="1">
      <c r="A391" s="63"/>
    </row>
    <row r="392" ht="15.75" customHeight="1">
      <c r="A392" s="63"/>
    </row>
    <row r="393" ht="15.75" customHeight="1">
      <c r="A393" s="63"/>
    </row>
    <row r="394" ht="15.75" customHeight="1">
      <c r="A394" s="63"/>
    </row>
    <row r="395" ht="15.75" customHeight="1">
      <c r="A395" s="63"/>
    </row>
    <row r="396" ht="15.75" customHeight="1">
      <c r="A396" s="63"/>
    </row>
    <row r="397" ht="15.75" customHeight="1">
      <c r="A397" s="63"/>
    </row>
    <row r="398" ht="15.75" customHeight="1">
      <c r="A398" s="63"/>
    </row>
    <row r="399" ht="15.75" customHeight="1">
      <c r="A399" s="63"/>
    </row>
    <row r="400" ht="15.75" customHeight="1">
      <c r="A400" s="63"/>
    </row>
    <row r="401" ht="15.75" customHeight="1">
      <c r="A401" s="63"/>
    </row>
    <row r="402" ht="15.75" customHeight="1">
      <c r="A402" s="63"/>
    </row>
    <row r="403" ht="15.75" customHeight="1">
      <c r="A403" s="63"/>
    </row>
    <row r="404" ht="15.75" customHeight="1">
      <c r="A404" s="63"/>
    </row>
    <row r="405" ht="15.75" customHeight="1">
      <c r="A405" s="63"/>
    </row>
    <row r="406" ht="15.75" customHeight="1">
      <c r="A406" s="63"/>
    </row>
    <row r="407" ht="15.75" customHeight="1">
      <c r="A407" s="63"/>
    </row>
    <row r="408" ht="15.75" customHeight="1">
      <c r="A408" s="63"/>
    </row>
    <row r="409" ht="15.75" customHeight="1">
      <c r="A409" s="63"/>
    </row>
    <row r="410" ht="15.75" customHeight="1">
      <c r="A410" s="63"/>
    </row>
    <row r="411" ht="15.75" customHeight="1">
      <c r="A411" s="63"/>
    </row>
    <row r="412" ht="15.75" customHeight="1">
      <c r="A412" s="63"/>
    </row>
    <row r="413" ht="15.75" customHeight="1">
      <c r="A413" s="63"/>
    </row>
    <row r="414" ht="15.75" customHeight="1">
      <c r="A414" s="63"/>
    </row>
    <row r="415" ht="15.75" customHeight="1">
      <c r="A415" s="63"/>
    </row>
    <row r="416" ht="15.75" customHeight="1">
      <c r="A416" s="63"/>
    </row>
    <row r="417" ht="15.75" customHeight="1">
      <c r="A417" s="63"/>
    </row>
    <row r="418" ht="15.75" customHeight="1">
      <c r="A418" s="63"/>
    </row>
    <row r="419" ht="15.75" customHeight="1">
      <c r="A419" s="63"/>
    </row>
    <row r="420" ht="15.75" customHeight="1">
      <c r="A420" s="63"/>
    </row>
    <row r="421" ht="15.75" customHeight="1">
      <c r="A421" s="63"/>
    </row>
    <row r="422" ht="15.75" customHeight="1">
      <c r="A422" s="63"/>
    </row>
    <row r="423" ht="15.75" customHeight="1">
      <c r="A423" s="63"/>
    </row>
    <row r="424" ht="15.75" customHeight="1">
      <c r="A424" s="63"/>
    </row>
    <row r="425" ht="15.75" customHeight="1">
      <c r="A425" s="63"/>
    </row>
    <row r="426" ht="15.75" customHeight="1">
      <c r="A426" s="63"/>
    </row>
    <row r="427" ht="15.75" customHeight="1">
      <c r="A427" s="63"/>
    </row>
    <row r="428" ht="15.75" customHeight="1">
      <c r="A428" s="63"/>
    </row>
    <row r="429" ht="15.75" customHeight="1">
      <c r="A429" s="63"/>
    </row>
    <row r="430" ht="15.75" customHeight="1">
      <c r="A430" s="63"/>
    </row>
    <row r="431" ht="15.75" customHeight="1">
      <c r="A431" s="63"/>
    </row>
    <row r="432" ht="15.75" customHeight="1">
      <c r="A432" s="63"/>
    </row>
    <row r="433" ht="15.75" customHeight="1">
      <c r="A433" s="63"/>
    </row>
    <row r="434" ht="15.75" customHeight="1">
      <c r="A434" s="63"/>
    </row>
    <row r="435" ht="15.75" customHeight="1">
      <c r="A435" s="63"/>
    </row>
    <row r="436" ht="15.75" customHeight="1">
      <c r="A436" s="63"/>
    </row>
    <row r="437" ht="15.75" customHeight="1">
      <c r="A437" s="63"/>
    </row>
    <row r="438" ht="15.75" customHeight="1">
      <c r="A438" s="63"/>
    </row>
    <row r="439" ht="15.75" customHeight="1">
      <c r="A439" s="63"/>
    </row>
    <row r="440" ht="15.75" customHeight="1">
      <c r="A440" s="63"/>
    </row>
    <row r="441" ht="15.75" customHeight="1">
      <c r="A441" s="63"/>
    </row>
    <row r="442" ht="15.75" customHeight="1">
      <c r="A442" s="63"/>
    </row>
    <row r="443" ht="15.75" customHeight="1">
      <c r="A443" s="63"/>
    </row>
    <row r="444" ht="15.75" customHeight="1">
      <c r="A444" s="63"/>
    </row>
    <row r="445" ht="15.75" customHeight="1">
      <c r="A445" s="63"/>
    </row>
    <row r="446" ht="15.75" customHeight="1">
      <c r="A446" s="63"/>
    </row>
    <row r="447" ht="15.75" customHeight="1">
      <c r="A447" s="63"/>
    </row>
    <row r="448" ht="15.75" customHeight="1">
      <c r="A448" s="63"/>
    </row>
    <row r="449" ht="15.75" customHeight="1">
      <c r="A449" s="63"/>
    </row>
    <row r="450" ht="15.75" customHeight="1">
      <c r="A450" s="63"/>
    </row>
    <row r="451" ht="15.75" customHeight="1">
      <c r="A451" s="63"/>
    </row>
    <row r="452" ht="15.75" customHeight="1">
      <c r="A452" s="63"/>
    </row>
    <row r="453" ht="15.75" customHeight="1">
      <c r="A453" s="63"/>
    </row>
    <row r="454" ht="15.75" customHeight="1">
      <c r="A454" s="63"/>
    </row>
    <row r="455" ht="15.75" customHeight="1">
      <c r="A455" s="63"/>
    </row>
    <row r="456" ht="15.75" customHeight="1">
      <c r="A456" s="63"/>
    </row>
    <row r="457" ht="15.75" customHeight="1">
      <c r="A457" s="63"/>
    </row>
    <row r="458" ht="15.75" customHeight="1">
      <c r="A458" s="63"/>
    </row>
    <row r="459" ht="15.75" customHeight="1">
      <c r="A459" s="63"/>
    </row>
    <row r="460" ht="15.75" customHeight="1">
      <c r="A460" s="63"/>
    </row>
    <row r="461" ht="15.75" customHeight="1">
      <c r="A461" s="63"/>
    </row>
    <row r="462" ht="15.75" customHeight="1">
      <c r="A462" s="63"/>
    </row>
    <row r="463" ht="15.75" customHeight="1">
      <c r="A463" s="63"/>
    </row>
    <row r="464" ht="15.75" customHeight="1">
      <c r="A464" s="63"/>
    </row>
    <row r="465" ht="15.75" customHeight="1">
      <c r="A465" s="63"/>
    </row>
    <row r="466" ht="15.75" customHeight="1">
      <c r="A466" s="63"/>
    </row>
    <row r="467" ht="15.75" customHeight="1">
      <c r="A467" s="63"/>
    </row>
    <row r="468" ht="15.75" customHeight="1">
      <c r="A468" s="63"/>
    </row>
    <row r="469" ht="15.75" customHeight="1">
      <c r="A469" s="63"/>
    </row>
    <row r="470" ht="15.75" customHeight="1">
      <c r="A470" s="63"/>
    </row>
    <row r="471" ht="15.75" customHeight="1">
      <c r="A471" s="63"/>
    </row>
    <row r="472" ht="15.75" customHeight="1">
      <c r="A472" s="63"/>
    </row>
    <row r="473" ht="15.75" customHeight="1">
      <c r="A473" s="63"/>
    </row>
    <row r="474" ht="15.75" customHeight="1">
      <c r="A474" s="63"/>
    </row>
    <row r="475" ht="15.75" customHeight="1">
      <c r="A475" s="63"/>
    </row>
    <row r="476" ht="15.75" customHeight="1">
      <c r="A476" s="63"/>
    </row>
    <row r="477" ht="15.75" customHeight="1">
      <c r="A477" s="63"/>
    </row>
    <row r="478" ht="15.75" customHeight="1">
      <c r="A478" s="63"/>
    </row>
    <row r="479" ht="15.75" customHeight="1">
      <c r="A479" s="63"/>
    </row>
    <row r="480" ht="15.75" customHeight="1">
      <c r="A480" s="63"/>
    </row>
    <row r="481" ht="15.75" customHeight="1">
      <c r="A481" s="63"/>
    </row>
    <row r="482" ht="15.75" customHeight="1">
      <c r="A482" s="63"/>
    </row>
    <row r="483" ht="15.75" customHeight="1">
      <c r="A483" s="63"/>
    </row>
    <row r="484" ht="15.75" customHeight="1">
      <c r="A484" s="63"/>
    </row>
    <row r="485" ht="15.75" customHeight="1">
      <c r="A485" s="63"/>
    </row>
    <row r="486" ht="15.75" customHeight="1">
      <c r="A486" s="63"/>
    </row>
    <row r="487" ht="15.75" customHeight="1">
      <c r="A487" s="63"/>
    </row>
    <row r="488" ht="15.75" customHeight="1">
      <c r="A488" s="63"/>
    </row>
    <row r="489" ht="15.75" customHeight="1">
      <c r="A489" s="63"/>
    </row>
    <row r="490" ht="15.75" customHeight="1">
      <c r="A490" s="63"/>
    </row>
    <row r="491" ht="15.75" customHeight="1">
      <c r="A491" s="63"/>
    </row>
    <row r="492" ht="15.75" customHeight="1">
      <c r="A492" s="63"/>
    </row>
    <row r="493" ht="15.75" customHeight="1">
      <c r="A493" s="63"/>
    </row>
    <row r="494" ht="15.75" customHeight="1">
      <c r="A494" s="63"/>
    </row>
    <row r="495" ht="15.75" customHeight="1">
      <c r="A495" s="63"/>
    </row>
    <row r="496" ht="15.75" customHeight="1">
      <c r="A496" s="63"/>
    </row>
    <row r="497" ht="15.75" customHeight="1">
      <c r="A497" s="63"/>
    </row>
    <row r="498" ht="15.75" customHeight="1">
      <c r="A498" s="63"/>
    </row>
    <row r="499" ht="15.75" customHeight="1">
      <c r="A499" s="63"/>
    </row>
    <row r="500" ht="15.75" customHeight="1">
      <c r="A500" s="63"/>
    </row>
    <row r="501" ht="15.75" customHeight="1">
      <c r="A501" s="63"/>
    </row>
    <row r="502" ht="15.75" customHeight="1">
      <c r="A502" s="63"/>
    </row>
    <row r="503" ht="15.75" customHeight="1">
      <c r="A503" s="63"/>
    </row>
    <row r="504" ht="15.75" customHeight="1">
      <c r="A504" s="63"/>
    </row>
    <row r="505" ht="15.75" customHeight="1">
      <c r="A505" s="63"/>
    </row>
    <row r="506" ht="15.75" customHeight="1">
      <c r="A506" s="63"/>
    </row>
    <row r="507" ht="15.75" customHeight="1">
      <c r="A507" s="63"/>
    </row>
    <row r="508" ht="15.75" customHeight="1">
      <c r="A508" s="63"/>
    </row>
    <row r="509" ht="15.75" customHeight="1">
      <c r="A509" s="63"/>
    </row>
    <row r="510" ht="15.75" customHeight="1">
      <c r="A510" s="63"/>
    </row>
    <row r="511" ht="15.75" customHeight="1">
      <c r="A511" s="63"/>
    </row>
    <row r="512" ht="15.75" customHeight="1">
      <c r="A512" s="63"/>
    </row>
    <row r="513" ht="15.75" customHeight="1">
      <c r="A513" s="63"/>
    </row>
    <row r="514" ht="15.75" customHeight="1">
      <c r="A514" s="63"/>
    </row>
    <row r="515" ht="15.75" customHeight="1">
      <c r="A515" s="63"/>
    </row>
    <row r="516" ht="15.75" customHeight="1">
      <c r="A516" s="63"/>
    </row>
    <row r="517" ht="15.75" customHeight="1">
      <c r="A517" s="63"/>
    </row>
    <row r="518" ht="15.75" customHeight="1">
      <c r="A518" s="63"/>
    </row>
    <row r="519" ht="15.75" customHeight="1">
      <c r="A519" s="63"/>
    </row>
    <row r="520" ht="15.75" customHeight="1">
      <c r="A520" s="63"/>
    </row>
    <row r="521" ht="15.75" customHeight="1">
      <c r="A521" s="63"/>
    </row>
    <row r="522" ht="15.75" customHeight="1">
      <c r="A522" s="63"/>
    </row>
    <row r="523" ht="15.75" customHeight="1">
      <c r="A523" s="63"/>
    </row>
    <row r="524" ht="15.75" customHeight="1">
      <c r="A524" s="63"/>
    </row>
    <row r="525" ht="15.75" customHeight="1">
      <c r="A525" s="63"/>
    </row>
    <row r="526" ht="15.75" customHeight="1">
      <c r="A526" s="63"/>
    </row>
    <row r="527" ht="15.75" customHeight="1">
      <c r="A527" s="63"/>
    </row>
    <row r="528" ht="15.75" customHeight="1">
      <c r="A528" s="63"/>
    </row>
    <row r="529" ht="15.75" customHeight="1">
      <c r="A529" s="63"/>
    </row>
    <row r="530" ht="15.75" customHeight="1">
      <c r="A530" s="63"/>
    </row>
    <row r="531" ht="15.75" customHeight="1">
      <c r="A531" s="63"/>
    </row>
    <row r="532" ht="15.75" customHeight="1">
      <c r="A532" s="63"/>
    </row>
    <row r="533" ht="15.75" customHeight="1">
      <c r="A533" s="63"/>
    </row>
    <row r="534" ht="15.75" customHeight="1">
      <c r="A534" s="63"/>
    </row>
    <row r="535" ht="15.75" customHeight="1">
      <c r="A535" s="63"/>
    </row>
    <row r="536" ht="15.75" customHeight="1">
      <c r="A536" s="63"/>
    </row>
    <row r="537" ht="15.75" customHeight="1">
      <c r="A537" s="63"/>
    </row>
    <row r="538" ht="15.75" customHeight="1">
      <c r="A538" s="63"/>
    </row>
    <row r="539" ht="15.75" customHeight="1">
      <c r="A539" s="63"/>
    </row>
    <row r="540" ht="15.75" customHeight="1">
      <c r="A540" s="63"/>
    </row>
    <row r="541" ht="15.75" customHeight="1">
      <c r="A541" s="63"/>
    </row>
    <row r="542" ht="15.75" customHeight="1">
      <c r="A542" s="63"/>
    </row>
    <row r="543" ht="15.75" customHeight="1">
      <c r="A543" s="63"/>
    </row>
    <row r="544" ht="15.75" customHeight="1">
      <c r="A544" s="63"/>
    </row>
    <row r="545" ht="15.75" customHeight="1">
      <c r="A545" s="63"/>
    </row>
    <row r="546" ht="15.75" customHeight="1">
      <c r="A546" s="63"/>
    </row>
    <row r="547" ht="15.75" customHeight="1">
      <c r="A547" s="63"/>
    </row>
    <row r="548" ht="15.75" customHeight="1">
      <c r="A548" s="63"/>
    </row>
    <row r="549" ht="15.75" customHeight="1">
      <c r="A549" s="63"/>
    </row>
    <row r="550" ht="15.75" customHeight="1">
      <c r="A550" s="63"/>
    </row>
    <row r="551" ht="15.75" customHeight="1">
      <c r="A551" s="63"/>
    </row>
    <row r="552" ht="15.75" customHeight="1">
      <c r="A552" s="63"/>
    </row>
    <row r="553" ht="15.75" customHeight="1">
      <c r="A553" s="63"/>
    </row>
    <row r="554" ht="15.75" customHeight="1">
      <c r="A554" s="63"/>
    </row>
    <row r="555" ht="15.75" customHeight="1">
      <c r="A555" s="63"/>
    </row>
    <row r="556" ht="15.75" customHeight="1">
      <c r="A556" s="63"/>
    </row>
    <row r="557" ht="15.75" customHeight="1">
      <c r="A557" s="63"/>
    </row>
    <row r="558" ht="15.75" customHeight="1">
      <c r="A558" s="63"/>
    </row>
    <row r="559" ht="15.75" customHeight="1">
      <c r="A559" s="63"/>
    </row>
    <row r="560" ht="15.75" customHeight="1">
      <c r="A560" s="63"/>
    </row>
    <row r="561" ht="15.75" customHeight="1">
      <c r="A561" s="63"/>
    </row>
    <row r="562" ht="15.75" customHeight="1">
      <c r="A562" s="63"/>
    </row>
    <row r="563" ht="15.75" customHeight="1">
      <c r="A563" s="63"/>
    </row>
    <row r="564" ht="15.75" customHeight="1">
      <c r="A564" s="63"/>
    </row>
    <row r="565" ht="15.75" customHeight="1">
      <c r="A565" s="63"/>
    </row>
    <row r="566" ht="15.75" customHeight="1">
      <c r="A566" s="63"/>
    </row>
    <row r="567" ht="15.75" customHeight="1">
      <c r="A567" s="63"/>
    </row>
    <row r="568" ht="15.75" customHeight="1">
      <c r="A568" s="63"/>
    </row>
    <row r="569" ht="15.75" customHeight="1">
      <c r="A569" s="63"/>
    </row>
    <row r="570" ht="15.75" customHeight="1">
      <c r="A570" s="63"/>
    </row>
    <row r="571" ht="15.75" customHeight="1">
      <c r="A571" s="63"/>
    </row>
    <row r="572" ht="15.75" customHeight="1">
      <c r="A572" s="63"/>
    </row>
    <row r="573" ht="15.75" customHeight="1">
      <c r="A573" s="63"/>
    </row>
    <row r="574" ht="15.75" customHeight="1">
      <c r="A574" s="63"/>
    </row>
    <row r="575" ht="15.75" customHeight="1">
      <c r="A575" s="63"/>
    </row>
    <row r="576" ht="15.75" customHeight="1">
      <c r="A576" s="63"/>
    </row>
    <row r="577" ht="15.75" customHeight="1">
      <c r="A577" s="63"/>
    </row>
    <row r="578" ht="15.75" customHeight="1">
      <c r="A578" s="63"/>
    </row>
    <row r="579" ht="15.75" customHeight="1">
      <c r="A579" s="63"/>
    </row>
    <row r="580" ht="15.75" customHeight="1">
      <c r="A580" s="63"/>
    </row>
    <row r="581" ht="15.75" customHeight="1">
      <c r="A581" s="63"/>
    </row>
    <row r="582" ht="15.75" customHeight="1">
      <c r="A582" s="63"/>
    </row>
    <row r="583" ht="15.75" customHeight="1">
      <c r="A583" s="63"/>
    </row>
    <row r="584" ht="15.75" customHeight="1">
      <c r="A584" s="63"/>
    </row>
    <row r="585" ht="15.75" customHeight="1">
      <c r="A585" s="63"/>
    </row>
    <row r="586" ht="15.75" customHeight="1">
      <c r="A586" s="63"/>
    </row>
    <row r="587" ht="15.75" customHeight="1">
      <c r="A587" s="63"/>
    </row>
    <row r="588" ht="15.75" customHeight="1">
      <c r="A588" s="63"/>
    </row>
    <row r="589" ht="15.75" customHeight="1">
      <c r="A589" s="63"/>
    </row>
    <row r="590" ht="15.75" customHeight="1">
      <c r="A590" s="63"/>
    </row>
    <row r="591" ht="15.75" customHeight="1">
      <c r="A591" s="63"/>
    </row>
    <row r="592" ht="15.75" customHeight="1">
      <c r="A592" s="63"/>
    </row>
    <row r="593" ht="15.75" customHeight="1">
      <c r="A593" s="63"/>
    </row>
    <row r="594" ht="15.75" customHeight="1">
      <c r="A594" s="63"/>
    </row>
    <row r="595" ht="15.75" customHeight="1">
      <c r="A595" s="63"/>
    </row>
    <row r="596" ht="15.75" customHeight="1">
      <c r="A596" s="63"/>
    </row>
    <row r="597" ht="15.75" customHeight="1">
      <c r="A597" s="63"/>
    </row>
    <row r="598" ht="15.75" customHeight="1">
      <c r="A598" s="63"/>
    </row>
    <row r="599" ht="15.75" customHeight="1">
      <c r="A599" s="63"/>
    </row>
    <row r="600" ht="15.75" customHeight="1">
      <c r="A600" s="63"/>
    </row>
    <row r="601" ht="15.75" customHeight="1">
      <c r="A601" s="63"/>
    </row>
    <row r="602" ht="15.75" customHeight="1">
      <c r="A602" s="63"/>
    </row>
    <row r="603" ht="15.75" customHeight="1">
      <c r="A603" s="63"/>
    </row>
    <row r="604" ht="15.75" customHeight="1">
      <c r="A604" s="63"/>
    </row>
    <row r="605" ht="15.75" customHeight="1">
      <c r="A605" s="63"/>
    </row>
    <row r="606" ht="15.75" customHeight="1">
      <c r="A606" s="63"/>
    </row>
    <row r="607" ht="15.75" customHeight="1">
      <c r="A607" s="63"/>
    </row>
    <row r="608" ht="15.75" customHeight="1">
      <c r="A608" s="63"/>
    </row>
    <row r="609" ht="15.75" customHeight="1">
      <c r="A609" s="63"/>
    </row>
    <row r="610" ht="15.75" customHeight="1">
      <c r="A610" s="63"/>
    </row>
    <row r="611" ht="15.75" customHeight="1">
      <c r="A611" s="63"/>
    </row>
    <row r="612" ht="15.75" customHeight="1">
      <c r="A612" s="63"/>
    </row>
    <row r="613" ht="15.75" customHeight="1">
      <c r="A613" s="63"/>
    </row>
    <row r="614" ht="15.75" customHeight="1">
      <c r="A614" s="63"/>
    </row>
    <row r="615" ht="15.75" customHeight="1">
      <c r="A615" s="63"/>
    </row>
    <row r="616" ht="15.75" customHeight="1">
      <c r="A616" s="63"/>
    </row>
    <row r="617" ht="15.75" customHeight="1">
      <c r="A617" s="63"/>
    </row>
    <row r="618" ht="15.75" customHeight="1">
      <c r="A618" s="63"/>
    </row>
    <row r="619" ht="15.75" customHeight="1">
      <c r="A619" s="63"/>
    </row>
    <row r="620" ht="15.75" customHeight="1">
      <c r="A620" s="63"/>
    </row>
    <row r="621" ht="15.75" customHeight="1">
      <c r="A621" s="63"/>
    </row>
    <row r="622" ht="15.75" customHeight="1">
      <c r="A622" s="63"/>
    </row>
    <row r="623" ht="15.75" customHeight="1">
      <c r="A623" s="63"/>
    </row>
    <row r="624" ht="15.75" customHeight="1">
      <c r="A624" s="63"/>
    </row>
    <row r="625" ht="15.75" customHeight="1">
      <c r="A625" s="63"/>
    </row>
    <row r="626" ht="15.75" customHeight="1">
      <c r="A626" s="63"/>
    </row>
    <row r="627" ht="15.75" customHeight="1">
      <c r="A627" s="63"/>
    </row>
    <row r="628" ht="15.75" customHeight="1">
      <c r="A628" s="63"/>
    </row>
    <row r="629" ht="15.75" customHeight="1">
      <c r="A629" s="63"/>
    </row>
    <row r="630" ht="15.75" customHeight="1">
      <c r="A630" s="63"/>
    </row>
    <row r="631" ht="15.75" customHeight="1">
      <c r="A631" s="63"/>
    </row>
    <row r="632" ht="15.75" customHeight="1">
      <c r="A632" s="63"/>
    </row>
    <row r="633" ht="15.75" customHeight="1">
      <c r="A633" s="63"/>
    </row>
    <row r="634" ht="15.75" customHeight="1">
      <c r="A634" s="63"/>
    </row>
    <row r="635" ht="15.75" customHeight="1">
      <c r="A635" s="63"/>
    </row>
    <row r="636" ht="15.75" customHeight="1">
      <c r="A636" s="63"/>
    </row>
    <row r="637" ht="15.75" customHeight="1">
      <c r="A637" s="63"/>
    </row>
    <row r="638" ht="15.75" customHeight="1">
      <c r="A638" s="63"/>
    </row>
    <row r="639" ht="15.75" customHeight="1">
      <c r="A639" s="63"/>
    </row>
    <row r="640" ht="15.75" customHeight="1">
      <c r="A640" s="63"/>
    </row>
    <row r="641" ht="15.75" customHeight="1">
      <c r="A641" s="63"/>
    </row>
    <row r="642" ht="15.75" customHeight="1">
      <c r="A642" s="63"/>
    </row>
    <row r="643" ht="15.75" customHeight="1">
      <c r="A643" s="63"/>
    </row>
    <row r="644" ht="15.75" customHeight="1">
      <c r="A644" s="63"/>
    </row>
    <row r="645" ht="15.75" customHeight="1">
      <c r="A645" s="63"/>
    </row>
    <row r="646" ht="15.75" customHeight="1">
      <c r="A646" s="63"/>
    </row>
    <row r="647" ht="15.75" customHeight="1">
      <c r="A647" s="63"/>
    </row>
    <row r="648" ht="15.75" customHeight="1">
      <c r="A648" s="63"/>
    </row>
    <row r="649" ht="15.75" customHeight="1">
      <c r="A649" s="63"/>
    </row>
    <row r="650" ht="15.75" customHeight="1">
      <c r="A650" s="63"/>
    </row>
    <row r="651" ht="15.75" customHeight="1">
      <c r="A651" s="63"/>
    </row>
    <row r="652" ht="15.75" customHeight="1">
      <c r="A652" s="63"/>
    </row>
    <row r="653" ht="15.75" customHeight="1">
      <c r="A653" s="63"/>
    </row>
    <row r="654" ht="15.75" customHeight="1">
      <c r="A654" s="63"/>
    </row>
    <row r="655" ht="15.75" customHeight="1">
      <c r="A655" s="63"/>
    </row>
    <row r="656" ht="15.75" customHeight="1">
      <c r="A656" s="63"/>
    </row>
    <row r="657" ht="15.75" customHeight="1">
      <c r="A657" s="63"/>
    </row>
    <row r="658" ht="15.75" customHeight="1">
      <c r="A658" s="63"/>
    </row>
    <row r="659" ht="15.75" customHeight="1">
      <c r="A659" s="63"/>
    </row>
    <row r="660" ht="15.75" customHeight="1">
      <c r="A660" s="63"/>
    </row>
    <row r="661" ht="15.75" customHeight="1">
      <c r="A661" s="63"/>
    </row>
    <row r="662" ht="15.75" customHeight="1">
      <c r="A662" s="63"/>
    </row>
    <row r="663" ht="15.75" customHeight="1">
      <c r="A663" s="63"/>
    </row>
    <row r="664" ht="15.75" customHeight="1">
      <c r="A664" s="63"/>
    </row>
    <row r="665" ht="15.75" customHeight="1">
      <c r="A665" s="63"/>
    </row>
    <row r="666" ht="15.75" customHeight="1">
      <c r="A666" s="63"/>
    </row>
    <row r="667" ht="15.75" customHeight="1">
      <c r="A667" s="63"/>
    </row>
    <row r="668" ht="15.75" customHeight="1">
      <c r="A668" s="63"/>
    </row>
    <row r="669" ht="15.75" customHeight="1">
      <c r="A669" s="63"/>
    </row>
    <row r="670" ht="15.75" customHeight="1">
      <c r="A670" s="63"/>
    </row>
    <row r="671" ht="15.75" customHeight="1">
      <c r="A671" s="63"/>
    </row>
    <row r="672" ht="15.75" customHeight="1">
      <c r="A672" s="63"/>
    </row>
    <row r="673" ht="15.75" customHeight="1">
      <c r="A673" s="63"/>
    </row>
    <row r="674" ht="15.75" customHeight="1">
      <c r="A674" s="63"/>
    </row>
    <row r="675" ht="15.75" customHeight="1">
      <c r="A675" s="63"/>
    </row>
    <row r="676" ht="15.75" customHeight="1">
      <c r="A676" s="63"/>
    </row>
    <row r="677" ht="15.75" customHeight="1">
      <c r="A677" s="63"/>
    </row>
    <row r="678" ht="15.75" customHeight="1">
      <c r="A678" s="63"/>
    </row>
    <row r="679" ht="15.75" customHeight="1">
      <c r="A679" s="63"/>
    </row>
    <row r="680" ht="15.75" customHeight="1">
      <c r="A680" s="63"/>
    </row>
    <row r="681" ht="15.75" customHeight="1">
      <c r="A681" s="63"/>
    </row>
    <row r="682" ht="15.75" customHeight="1">
      <c r="A682" s="63"/>
    </row>
    <row r="683" ht="15.75" customHeight="1">
      <c r="A683" s="63"/>
    </row>
    <row r="684" ht="15.75" customHeight="1">
      <c r="A684" s="63"/>
    </row>
    <row r="685" ht="15.75" customHeight="1">
      <c r="A685" s="63"/>
    </row>
    <row r="686" ht="15.75" customHeight="1">
      <c r="A686" s="63"/>
    </row>
    <row r="687" ht="15.75" customHeight="1">
      <c r="A687" s="63"/>
    </row>
    <row r="688" ht="15.75" customHeight="1">
      <c r="A688" s="63"/>
    </row>
    <row r="689" ht="15.75" customHeight="1">
      <c r="A689" s="63"/>
    </row>
    <row r="690" ht="15.75" customHeight="1">
      <c r="A690" s="63"/>
    </row>
    <row r="691" ht="15.75" customHeight="1">
      <c r="A691" s="63"/>
    </row>
    <row r="692" ht="15.75" customHeight="1">
      <c r="A692" s="63"/>
    </row>
    <row r="693" ht="15.75" customHeight="1">
      <c r="A693" s="63"/>
    </row>
    <row r="694" ht="15.75" customHeight="1">
      <c r="A694" s="63"/>
    </row>
    <row r="695" ht="15.75" customHeight="1">
      <c r="A695" s="63"/>
    </row>
    <row r="696" ht="15.75" customHeight="1">
      <c r="A696" s="63"/>
    </row>
    <row r="697" ht="15.75" customHeight="1">
      <c r="A697" s="63"/>
    </row>
    <row r="698" ht="15.75" customHeight="1">
      <c r="A698" s="63"/>
    </row>
    <row r="699" ht="15.75" customHeight="1">
      <c r="A699" s="63"/>
    </row>
    <row r="700" ht="15.75" customHeight="1">
      <c r="A700" s="63"/>
    </row>
    <row r="701" ht="15.75" customHeight="1">
      <c r="A701" s="63"/>
    </row>
    <row r="702" ht="15.75" customHeight="1">
      <c r="A702" s="63"/>
    </row>
    <row r="703" ht="15.75" customHeight="1">
      <c r="A703" s="63"/>
    </row>
    <row r="704" ht="15.75" customHeight="1">
      <c r="A704" s="63"/>
    </row>
    <row r="705" ht="15.75" customHeight="1">
      <c r="A705" s="63"/>
    </row>
    <row r="706" ht="15.75" customHeight="1">
      <c r="A706" s="63"/>
    </row>
    <row r="707" ht="15.75" customHeight="1">
      <c r="A707" s="63"/>
    </row>
    <row r="708" ht="15.75" customHeight="1">
      <c r="A708" s="63"/>
    </row>
    <row r="709" ht="15.75" customHeight="1">
      <c r="A709" s="63"/>
    </row>
    <row r="710" ht="15.75" customHeight="1">
      <c r="A710" s="63"/>
    </row>
    <row r="711" ht="15.75" customHeight="1">
      <c r="A711" s="63"/>
    </row>
    <row r="712" ht="15.75" customHeight="1">
      <c r="A712" s="63"/>
    </row>
    <row r="713" ht="15.75" customHeight="1">
      <c r="A713" s="63"/>
    </row>
    <row r="714" ht="15.75" customHeight="1">
      <c r="A714" s="63"/>
    </row>
    <row r="715" ht="15.75" customHeight="1">
      <c r="A715" s="63"/>
    </row>
    <row r="716" ht="15.75" customHeight="1">
      <c r="A716" s="63"/>
    </row>
    <row r="717" ht="15.75" customHeight="1">
      <c r="A717" s="63"/>
    </row>
    <row r="718" ht="15.75" customHeight="1">
      <c r="A718" s="63"/>
    </row>
    <row r="719" ht="15.75" customHeight="1">
      <c r="A719" s="63"/>
    </row>
    <row r="720" ht="15.75" customHeight="1">
      <c r="A720" s="63"/>
    </row>
    <row r="721" ht="15.75" customHeight="1">
      <c r="A721" s="63"/>
    </row>
    <row r="722" ht="15.75" customHeight="1">
      <c r="A722" s="63"/>
    </row>
    <row r="723" ht="15.75" customHeight="1">
      <c r="A723" s="63"/>
    </row>
    <row r="724" ht="15.75" customHeight="1">
      <c r="A724" s="63"/>
    </row>
    <row r="725" ht="15.75" customHeight="1">
      <c r="A725" s="63"/>
    </row>
    <row r="726" ht="15.75" customHeight="1">
      <c r="A726" s="63"/>
    </row>
    <row r="727" ht="15.75" customHeight="1">
      <c r="A727" s="63"/>
    </row>
    <row r="728" ht="15.75" customHeight="1">
      <c r="A728" s="63"/>
    </row>
    <row r="729" ht="15.75" customHeight="1">
      <c r="A729" s="63"/>
    </row>
    <row r="730" ht="15.75" customHeight="1">
      <c r="A730" s="63"/>
    </row>
    <row r="731" ht="15.75" customHeight="1">
      <c r="A731" s="63"/>
    </row>
    <row r="732" ht="15.75" customHeight="1">
      <c r="A732" s="63"/>
    </row>
    <row r="733" ht="15.75" customHeight="1">
      <c r="A733" s="63"/>
    </row>
    <row r="734" ht="15.75" customHeight="1">
      <c r="A734" s="63"/>
    </row>
    <row r="735" ht="15.75" customHeight="1">
      <c r="A735" s="63"/>
    </row>
    <row r="736" ht="15.75" customHeight="1">
      <c r="A736" s="63"/>
    </row>
    <row r="737" ht="15.75" customHeight="1">
      <c r="A737" s="63"/>
    </row>
    <row r="738" ht="15.75" customHeight="1">
      <c r="A738" s="63"/>
    </row>
    <row r="739" ht="15.75" customHeight="1">
      <c r="A739" s="63"/>
    </row>
    <row r="740" ht="15.75" customHeight="1">
      <c r="A740" s="63"/>
    </row>
    <row r="741" ht="15.75" customHeight="1">
      <c r="A741" s="63"/>
    </row>
    <row r="742" ht="15.75" customHeight="1">
      <c r="A742" s="63"/>
    </row>
    <row r="743" ht="15.75" customHeight="1">
      <c r="A743" s="63"/>
    </row>
    <row r="744" ht="15.75" customHeight="1">
      <c r="A744" s="63"/>
    </row>
    <row r="745" ht="15.75" customHeight="1">
      <c r="A745" s="63"/>
    </row>
    <row r="746" ht="15.75" customHeight="1">
      <c r="A746" s="63"/>
    </row>
    <row r="747" ht="15.75" customHeight="1">
      <c r="A747" s="63"/>
    </row>
    <row r="748" ht="15.75" customHeight="1">
      <c r="A748" s="63"/>
    </row>
    <row r="749" ht="15.75" customHeight="1">
      <c r="A749" s="63"/>
    </row>
    <row r="750" ht="15.75" customHeight="1">
      <c r="A750" s="63"/>
    </row>
    <row r="751" ht="15.75" customHeight="1">
      <c r="A751" s="63"/>
    </row>
    <row r="752" ht="15.75" customHeight="1">
      <c r="A752" s="63"/>
    </row>
    <row r="753" ht="15.75" customHeight="1">
      <c r="A753" s="63"/>
    </row>
    <row r="754" ht="15.75" customHeight="1">
      <c r="A754" s="63"/>
    </row>
    <row r="755" ht="15.75" customHeight="1">
      <c r="A755" s="63"/>
    </row>
    <row r="756" ht="15.75" customHeight="1">
      <c r="A756" s="63"/>
    </row>
    <row r="757" ht="15.75" customHeight="1">
      <c r="A757" s="63"/>
    </row>
    <row r="758" ht="15.75" customHeight="1">
      <c r="A758" s="63"/>
    </row>
    <row r="759" ht="15.75" customHeight="1">
      <c r="A759" s="63"/>
    </row>
    <row r="760" ht="15.75" customHeight="1">
      <c r="A760" s="63"/>
    </row>
    <row r="761" ht="15.75" customHeight="1">
      <c r="A761" s="63"/>
    </row>
    <row r="762" ht="15.75" customHeight="1">
      <c r="A762" s="63"/>
    </row>
    <row r="763" ht="15.75" customHeight="1">
      <c r="A763" s="63"/>
    </row>
    <row r="764" ht="15.75" customHeight="1">
      <c r="A764" s="63"/>
    </row>
    <row r="765" ht="15.75" customHeight="1">
      <c r="A765" s="63"/>
    </row>
    <row r="766" ht="15.75" customHeight="1">
      <c r="A766" s="63"/>
    </row>
    <row r="767" ht="15.75" customHeight="1">
      <c r="A767" s="63"/>
    </row>
    <row r="768" ht="15.75" customHeight="1">
      <c r="A768" s="63"/>
    </row>
    <row r="769" ht="15.75" customHeight="1">
      <c r="A769" s="63"/>
    </row>
    <row r="770" ht="15.75" customHeight="1">
      <c r="A770" s="63"/>
    </row>
    <row r="771" ht="15.75" customHeight="1">
      <c r="A771" s="63"/>
    </row>
    <row r="772" ht="15.75" customHeight="1">
      <c r="A772" s="63"/>
    </row>
    <row r="773" ht="15.75" customHeight="1">
      <c r="A773" s="63"/>
    </row>
    <row r="774" ht="15.75" customHeight="1">
      <c r="A774" s="63"/>
    </row>
    <row r="775" ht="15.75" customHeight="1">
      <c r="A775" s="63"/>
    </row>
    <row r="776" ht="15.75" customHeight="1">
      <c r="A776" s="63"/>
    </row>
    <row r="777" ht="15.75" customHeight="1">
      <c r="A777" s="63"/>
    </row>
    <row r="778" ht="15.75" customHeight="1">
      <c r="A778" s="63"/>
    </row>
    <row r="779" ht="15.75" customHeight="1">
      <c r="A779" s="63"/>
    </row>
    <row r="780" ht="15.75" customHeight="1">
      <c r="A780" s="63"/>
    </row>
    <row r="781" ht="15.75" customHeight="1">
      <c r="A781" s="63"/>
    </row>
    <row r="782" ht="15.75" customHeight="1">
      <c r="A782" s="63"/>
    </row>
    <row r="783" ht="15.75" customHeight="1">
      <c r="A783" s="63"/>
    </row>
    <row r="784" ht="15.75" customHeight="1">
      <c r="A784" s="63"/>
    </row>
    <row r="785" ht="15.75" customHeight="1">
      <c r="A785" s="63"/>
    </row>
    <row r="786" ht="15.75" customHeight="1">
      <c r="A786" s="63"/>
    </row>
    <row r="787" ht="15.75" customHeight="1">
      <c r="A787" s="63"/>
    </row>
    <row r="788" ht="15.75" customHeight="1">
      <c r="A788" s="63"/>
    </row>
    <row r="789" ht="15.75" customHeight="1">
      <c r="A789" s="63"/>
    </row>
    <row r="790" ht="15.75" customHeight="1">
      <c r="A790" s="63"/>
    </row>
    <row r="791" ht="15.75" customHeight="1">
      <c r="A791" s="63"/>
    </row>
    <row r="792" ht="15.75" customHeight="1">
      <c r="A792" s="63"/>
    </row>
    <row r="793" ht="15.75" customHeight="1">
      <c r="A793" s="63"/>
    </row>
    <row r="794" ht="15.75" customHeight="1">
      <c r="A794" s="63"/>
    </row>
    <row r="795" ht="15.75" customHeight="1">
      <c r="A795" s="63"/>
    </row>
    <row r="796" ht="15.75" customHeight="1">
      <c r="A796" s="63"/>
    </row>
    <row r="797" ht="15.75" customHeight="1">
      <c r="A797" s="63"/>
    </row>
    <row r="798" ht="15.75" customHeight="1">
      <c r="A798" s="63"/>
    </row>
    <row r="799" ht="15.75" customHeight="1">
      <c r="A799" s="63"/>
    </row>
    <row r="800" ht="15.75" customHeight="1">
      <c r="A800" s="63"/>
    </row>
    <row r="801" ht="15.75" customHeight="1">
      <c r="A801" s="63"/>
    </row>
    <row r="802" ht="15.75" customHeight="1">
      <c r="A802" s="63"/>
    </row>
    <row r="803" ht="15.75" customHeight="1">
      <c r="A803" s="63"/>
    </row>
    <row r="804" ht="15.75" customHeight="1">
      <c r="A804" s="63"/>
    </row>
    <row r="805" ht="15.75" customHeight="1">
      <c r="A805" s="63"/>
    </row>
    <row r="806" ht="15.75" customHeight="1">
      <c r="A806" s="63"/>
    </row>
    <row r="807" ht="15.75" customHeight="1">
      <c r="A807" s="63"/>
    </row>
    <row r="808" ht="15.75" customHeight="1">
      <c r="A808" s="63"/>
    </row>
    <row r="809" ht="15.75" customHeight="1">
      <c r="A809" s="63"/>
    </row>
    <row r="810" ht="15.75" customHeight="1">
      <c r="A810" s="63"/>
    </row>
    <row r="811" ht="15.75" customHeight="1">
      <c r="A811" s="63"/>
    </row>
    <row r="812" ht="15.75" customHeight="1">
      <c r="A812" s="63"/>
    </row>
    <row r="813" ht="15.75" customHeight="1">
      <c r="A813" s="63"/>
    </row>
    <row r="814" ht="15.75" customHeight="1">
      <c r="A814" s="63"/>
    </row>
    <row r="815" ht="15.75" customHeight="1">
      <c r="A815" s="63"/>
    </row>
    <row r="816" ht="15.75" customHeight="1">
      <c r="A816" s="63"/>
    </row>
    <row r="817" ht="15.75" customHeight="1">
      <c r="A817" s="63"/>
    </row>
    <row r="818" ht="15.75" customHeight="1">
      <c r="A818" s="63"/>
    </row>
    <row r="819" ht="15.75" customHeight="1">
      <c r="A819" s="63"/>
    </row>
    <row r="820" ht="15.75" customHeight="1">
      <c r="A820" s="63"/>
    </row>
    <row r="821" ht="15.75" customHeight="1">
      <c r="A821" s="63"/>
    </row>
    <row r="822" ht="15.75" customHeight="1">
      <c r="A822" s="63"/>
    </row>
    <row r="823" ht="15.75" customHeight="1">
      <c r="A823" s="63"/>
    </row>
    <row r="824" ht="15.75" customHeight="1">
      <c r="A824" s="63"/>
    </row>
    <row r="825" ht="15.75" customHeight="1">
      <c r="A825" s="63"/>
    </row>
    <row r="826" ht="15.75" customHeight="1">
      <c r="A826" s="63"/>
    </row>
    <row r="827" ht="15.75" customHeight="1">
      <c r="A827" s="63"/>
    </row>
    <row r="828" ht="15.75" customHeight="1">
      <c r="A828" s="63"/>
    </row>
    <row r="829" ht="15.75" customHeight="1">
      <c r="A829" s="63"/>
    </row>
    <row r="830" ht="15.75" customHeight="1">
      <c r="A830" s="63"/>
    </row>
    <row r="831" ht="15.75" customHeight="1">
      <c r="A831" s="63"/>
    </row>
    <row r="832" ht="15.75" customHeight="1">
      <c r="A832" s="63"/>
    </row>
    <row r="833" ht="15.75" customHeight="1">
      <c r="A833" s="63"/>
    </row>
    <row r="834" ht="15.75" customHeight="1">
      <c r="A834" s="63"/>
    </row>
    <row r="835" ht="15.75" customHeight="1">
      <c r="A835" s="63"/>
    </row>
    <row r="836" ht="15.75" customHeight="1">
      <c r="A836" s="63"/>
    </row>
    <row r="837" ht="15.75" customHeight="1">
      <c r="A837" s="63"/>
    </row>
    <row r="838" ht="15.75" customHeight="1">
      <c r="A838" s="63"/>
    </row>
    <row r="839" ht="15.75" customHeight="1">
      <c r="A839" s="63"/>
    </row>
    <row r="840" ht="15.75" customHeight="1">
      <c r="A840" s="63"/>
    </row>
    <row r="841" ht="15.75" customHeight="1">
      <c r="A841" s="63"/>
    </row>
    <row r="842" ht="15.75" customHeight="1">
      <c r="A842" s="63"/>
    </row>
    <row r="843" ht="15.75" customHeight="1">
      <c r="A843" s="63"/>
    </row>
    <row r="844" ht="15.75" customHeight="1">
      <c r="A844" s="63"/>
    </row>
    <row r="845" ht="15.75" customHeight="1">
      <c r="A845" s="63"/>
    </row>
    <row r="846" ht="15.75" customHeight="1">
      <c r="A846" s="63"/>
    </row>
    <row r="847" ht="15.75" customHeight="1">
      <c r="A847" s="63"/>
    </row>
    <row r="848" ht="15.75" customHeight="1">
      <c r="A848" s="63"/>
    </row>
    <row r="849" ht="15.75" customHeight="1">
      <c r="A849" s="63"/>
    </row>
    <row r="850" ht="15.75" customHeight="1">
      <c r="A850" s="63"/>
    </row>
    <row r="851" ht="15.75" customHeight="1">
      <c r="A851" s="63"/>
    </row>
    <row r="852" ht="15.75" customHeight="1">
      <c r="A852" s="63"/>
    </row>
    <row r="853" ht="15.75" customHeight="1">
      <c r="A853" s="63"/>
    </row>
    <row r="854" ht="15.75" customHeight="1">
      <c r="A854" s="63"/>
    </row>
    <row r="855" ht="15.75" customHeight="1">
      <c r="A855" s="63"/>
    </row>
    <row r="856" ht="15.75" customHeight="1">
      <c r="A856" s="63"/>
    </row>
    <row r="857" ht="15.75" customHeight="1">
      <c r="A857" s="63"/>
    </row>
    <row r="858" ht="15.75" customHeight="1">
      <c r="A858" s="63"/>
    </row>
    <row r="859" ht="15.75" customHeight="1">
      <c r="A859" s="63"/>
    </row>
    <row r="860" ht="15.75" customHeight="1">
      <c r="A860" s="63"/>
    </row>
    <row r="861" ht="15.75" customHeight="1">
      <c r="A861" s="63"/>
    </row>
    <row r="862" ht="15.75" customHeight="1">
      <c r="A862" s="63"/>
    </row>
    <row r="863" ht="15.75" customHeight="1">
      <c r="A863" s="63"/>
    </row>
    <row r="864" ht="15.75" customHeight="1">
      <c r="A864" s="63"/>
    </row>
    <row r="865" ht="15.75" customHeight="1">
      <c r="A865" s="63"/>
    </row>
    <row r="866" ht="15.75" customHeight="1">
      <c r="A866" s="63"/>
    </row>
    <row r="867" ht="15.75" customHeight="1">
      <c r="A867" s="63"/>
    </row>
    <row r="868" ht="15.75" customHeight="1">
      <c r="A868" s="63"/>
    </row>
    <row r="869" ht="15.75" customHeight="1">
      <c r="A869" s="63"/>
    </row>
    <row r="870" ht="15.75" customHeight="1">
      <c r="A870" s="63"/>
    </row>
    <row r="871" ht="15.75" customHeight="1">
      <c r="A871" s="63"/>
    </row>
    <row r="872" ht="15.75" customHeight="1">
      <c r="A872" s="63"/>
    </row>
    <row r="873" ht="15.75" customHeight="1">
      <c r="A873" s="63"/>
    </row>
    <row r="874" ht="15.75" customHeight="1">
      <c r="A874" s="63"/>
    </row>
    <row r="875" ht="15.75" customHeight="1">
      <c r="A875" s="63"/>
    </row>
    <row r="876" ht="15.75" customHeight="1">
      <c r="A876" s="63"/>
    </row>
    <row r="877" ht="15.75" customHeight="1">
      <c r="A877" s="63"/>
    </row>
    <row r="878" ht="15.75" customHeight="1">
      <c r="A878" s="63"/>
    </row>
    <row r="879" ht="15.75" customHeight="1">
      <c r="A879" s="63"/>
    </row>
    <row r="880" ht="15.75" customHeight="1">
      <c r="A880" s="63"/>
    </row>
    <row r="881" ht="15.75" customHeight="1">
      <c r="A881" s="63"/>
    </row>
    <row r="882" ht="15.75" customHeight="1">
      <c r="A882" s="63"/>
    </row>
    <row r="883" ht="15.75" customHeight="1">
      <c r="A883" s="63"/>
    </row>
    <row r="884" ht="15.75" customHeight="1">
      <c r="A884" s="63"/>
    </row>
    <row r="885" ht="15.75" customHeight="1">
      <c r="A885" s="63"/>
    </row>
    <row r="886" ht="15.75" customHeight="1">
      <c r="A886" s="63"/>
    </row>
    <row r="887" ht="15.75" customHeight="1">
      <c r="A887" s="63"/>
    </row>
    <row r="888" ht="15.75" customHeight="1">
      <c r="A888" s="63"/>
    </row>
    <row r="889" ht="15.75" customHeight="1">
      <c r="A889" s="63"/>
    </row>
    <row r="890" ht="15.75" customHeight="1">
      <c r="A890" s="63"/>
    </row>
    <row r="891" ht="15.75" customHeight="1">
      <c r="A891" s="63"/>
    </row>
    <row r="892" ht="15.75" customHeight="1">
      <c r="A892" s="63"/>
    </row>
    <row r="893" ht="15.75" customHeight="1">
      <c r="A893" s="63"/>
    </row>
    <row r="894" ht="15.75" customHeight="1">
      <c r="A894" s="63"/>
    </row>
    <row r="895" ht="15.75" customHeight="1">
      <c r="A895" s="63"/>
    </row>
    <row r="896" ht="15.75" customHeight="1">
      <c r="A896" s="63"/>
    </row>
    <row r="897" ht="15.75" customHeight="1">
      <c r="A897" s="63"/>
    </row>
    <row r="898" ht="15.75" customHeight="1">
      <c r="A898" s="63"/>
    </row>
    <row r="899" ht="15.75" customHeight="1">
      <c r="A899" s="63"/>
    </row>
    <row r="900" ht="15.75" customHeight="1">
      <c r="A900" s="63"/>
    </row>
    <row r="901" ht="15.75" customHeight="1">
      <c r="A901" s="63"/>
    </row>
    <row r="902" ht="15.75" customHeight="1">
      <c r="A902" s="63"/>
    </row>
    <row r="903" ht="15.75" customHeight="1">
      <c r="A903" s="63"/>
    </row>
    <row r="904" ht="15.75" customHeight="1">
      <c r="A904" s="63"/>
    </row>
    <row r="905" ht="15.75" customHeight="1">
      <c r="A905" s="63"/>
    </row>
    <row r="906" ht="15.75" customHeight="1">
      <c r="A906" s="63"/>
    </row>
    <row r="907" ht="15.75" customHeight="1">
      <c r="A907" s="63"/>
    </row>
    <row r="908" ht="15.75" customHeight="1">
      <c r="A908" s="63"/>
    </row>
    <row r="909" ht="15.75" customHeight="1">
      <c r="A909" s="63"/>
    </row>
    <row r="910" ht="15.75" customHeight="1">
      <c r="A910" s="63"/>
    </row>
    <row r="911" ht="15.75" customHeight="1">
      <c r="A911" s="63"/>
    </row>
    <row r="912" ht="15.75" customHeight="1">
      <c r="A912" s="63"/>
    </row>
    <row r="913" ht="15.75" customHeight="1">
      <c r="A913" s="63"/>
    </row>
    <row r="914" ht="15.75" customHeight="1">
      <c r="A914" s="63"/>
    </row>
    <row r="915" ht="15.75" customHeight="1">
      <c r="A915" s="63"/>
    </row>
    <row r="916" ht="15.75" customHeight="1">
      <c r="A916" s="63"/>
    </row>
    <row r="917" ht="15.75" customHeight="1">
      <c r="A917" s="63"/>
    </row>
    <row r="918" ht="15.75" customHeight="1">
      <c r="A918" s="63"/>
    </row>
    <row r="919" ht="15.75" customHeight="1">
      <c r="A919" s="63"/>
    </row>
    <row r="920" ht="15.75" customHeight="1">
      <c r="A920" s="63"/>
    </row>
    <row r="921" ht="15.75" customHeight="1">
      <c r="A921" s="63"/>
    </row>
    <row r="922" ht="15.75" customHeight="1">
      <c r="A922" s="63"/>
    </row>
    <row r="923" ht="15.75" customHeight="1">
      <c r="A923" s="63"/>
    </row>
    <row r="924" ht="15.75" customHeight="1">
      <c r="A924" s="63"/>
    </row>
    <row r="925" ht="15.75" customHeight="1">
      <c r="A925" s="63"/>
    </row>
    <row r="926" ht="15.75" customHeight="1">
      <c r="A926" s="63"/>
    </row>
    <row r="927" ht="15.75" customHeight="1">
      <c r="A927" s="63"/>
    </row>
    <row r="928" ht="15.75" customHeight="1">
      <c r="A928" s="63"/>
    </row>
    <row r="929" ht="15.75" customHeight="1">
      <c r="A929" s="63"/>
    </row>
    <row r="930" ht="15.75" customHeight="1">
      <c r="A930" s="63"/>
    </row>
    <row r="931" ht="15.75" customHeight="1">
      <c r="A931" s="63"/>
    </row>
    <row r="932" ht="15.75" customHeight="1">
      <c r="A932" s="63"/>
    </row>
    <row r="933" ht="15.75" customHeight="1">
      <c r="A933" s="63"/>
    </row>
    <row r="934" ht="15.75" customHeight="1">
      <c r="A934" s="63"/>
    </row>
    <row r="935" ht="15.75" customHeight="1">
      <c r="A935" s="63"/>
    </row>
    <row r="936" ht="15.75" customHeight="1">
      <c r="A936" s="63"/>
    </row>
    <row r="937" ht="15.75" customHeight="1">
      <c r="A937" s="63"/>
    </row>
    <row r="938" ht="15.75" customHeight="1">
      <c r="A938" s="63"/>
    </row>
    <row r="939" ht="15.75" customHeight="1">
      <c r="A939" s="63"/>
    </row>
    <row r="940" ht="15.75" customHeight="1">
      <c r="A940" s="63"/>
    </row>
    <row r="941" ht="15.75" customHeight="1">
      <c r="A941" s="63"/>
    </row>
    <row r="942" ht="15.75" customHeight="1">
      <c r="A942" s="63"/>
    </row>
    <row r="943" ht="15.75" customHeight="1">
      <c r="A943" s="63"/>
    </row>
    <row r="944" ht="15.75" customHeight="1">
      <c r="A944" s="63"/>
    </row>
    <row r="945" ht="15.75" customHeight="1">
      <c r="A945" s="63"/>
    </row>
    <row r="946" ht="15.75" customHeight="1">
      <c r="A946" s="63"/>
    </row>
    <row r="947" ht="15.75" customHeight="1">
      <c r="A947" s="63"/>
    </row>
    <row r="948" ht="15.75" customHeight="1">
      <c r="A948" s="63"/>
    </row>
    <row r="949" ht="15.75" customHeight="1">
      <c r="A949" s="63"/>
    </row>
    <row r="950" ht="15.75" customHeight="1">
      <c r="A950" s="63"/>
    </row>
    <row r="951" ht="15.75" customHeight="1">
      <c r="A951" s="63"/>
    </row>
    <row r="952" ht="15.75" customHeight="1">
      <c r="A952" s="63"/>
    </row>
    <row r="953" ht="15.75" customHeight="1">
      <c r="A953" s="63"/>
    </row>
    <row r="954" ht="15.75" customHeight="1">
      <c r="A954" s="63"/>
    </row>
    <row r="955" ht="15.75" customHeight="1">
      <c r="A955" s="63"/>
    </row>
    <row r="956" ht="15.75" customHeight="1">
      <c r="A956" s="63"/>
    </row>
    <row r="957" ht="15.75" customHeight="1">
      <c r="A957" s="63"/>
    </row>
    <row r="958" ht="15.75" customHeight="1">
      <c r="A958" s="63"/>
    </row>
    <row r="959" ht="15.75" customHeight="1">
      <c r="A959" s="63"/>
    </row>
    <row r="960" ht="15.75" customHeight="1">
      <c r="A960" s="63"/>
    </row>
    <row r="961" ht="15.75" customHeight="1">
      <c r="A961" s="63"/>
    </row>
    <row r="962" ht="15.75" customHeight="1">
      <c r="A962" s="63"/>
    </row>
    <row r="963" ht="15.75" customHeight="1">
      <c r="A963" s="63"/>
    </row>
    <row r="964" ht="15.75" customHeight="1">
      <c r="A964" s="63"/>
    </row>
    <row r="965" ht="15.75" customHeight="1">
      <c r="A965" s="63"/>
    </row>
    <row r="966" ht="15.75" customHeight="1">
      <c r="A966" s="63"/>
    </row>
    <row r="967" ht="15.75" customHeight="1">
      <c r="A967" s="63"/>
    </row>
    <row r="968" ht="15.75" customHeight="1">
      <c r="A968" s="63"/>
    </row>
    <row r="969" ht="15.75" customHeight="1">
      <c r="A969" s="63"/>
    </row>
    <row r="970" ht="15.75" customHeight="1">
      <c r="A970" s="63"/>
    </row>
    <row r="971" ht="15.75" customHeight="1">
      <c r="A971" s="63"/>
    </row>
    <row r="972" ht="15.75" customHeight="1">
      <c r="A972" s="63"/>
    </row>
    <row r="973" ht="15.75" customHeight="1">
      <c r="A973" s="63"/>
    </row>
    <row r="974" ht="15.75" customHeight="1">
      <c r="A974" s="63"/>
    </row>
    <row r="975" ht="15.75" customHeight="1">
      <c r="A975" s="63"/>
    </row>
    <row r="976" ht="15.75" customHeight="1">
      <c r="A976" s="63"/>
    </row>
    <row r="977" ht="15.75" customHeight="1">
      <c r="A977" s="63"/>
    </row>
    <row r="978" ht="15.75" customHeight="1">
      <c r="A978" s="63"/>
    </row>
    <row r="979" ht="15.75" customHeight="1">
      <c r="A979" s="63"/>
    </row>
    <row r="980" ht="15.75" customHeight="1">
      <c r="A980" s="63"/>
    </row>
    <row r="981" ht="15.75" customHeight="1">
      <c r="A981" s="63"/>
    </row>
    <row r="982" ht="15.75" customHeight="1">
      <c r="A982" s="63"/>
    </row>
    <row r="983" ht="15.75" customHeight="1">
      <c r="A983" s="63"/>
    </row>
    <row r="984" ht="15.75" customHeight="1">
      <c r="A984" s="63"/>
    </row>
    <row r="985" ht="15.75" customHeight="1">
      <c r="A985" s="63"/>
    </row>
    <row r="986" ht="15.75" customHeight="1">
      <c r="A986" s="63"/>
    </row>
    <row r="987" ht="15.75" customHeight="1">
      <c r="A987" s="63"/>
    </row>
    <row r="988" ht="15.75" customHeight="1">
      <c r="A988" s="63"/>
    </row>
    <row r="989" ht="15.75" customHeight="1">
      <c r="A989" s="63"/>
    </row>
    <row r="990" ht="15.75" customHeight="1">
      <c r="A990" s="63"/>
    </row>
    <row r="991" ht="15.75" customHeight="1">
      <c r="A991" s="63"/>
    </row>
    <row r="992" ht="15.75" customHeight="1">
      <c r="A992" s="63"/>
    </row>
    <row r="993" ht="15.75" customHeight="1">
      <c r="A993" s="63"/>
    </row>
    <row r="994" ht="15.75" customHeight="1">
      <c r="A994" s="63"/>
    </row>
    <row r="995" ht="15.75" customHeight="1">
      <c r="A995" s="63"/>
    </row>
    <row r="996" ht="15.75" customHeight="1">
      <c r="A996" s="63"/>
    </row>
    <row r="997" ht="15.75" customHeight="1">
      <c r="A997" s="63"/>
    </row>
    <row r="998" ht="15.75" customHeight="1">
      <c r="A998" s="63"/>
    </row>
    <row r="999" ht="15.75" customHeight="1">
      <c r="A999" s="63"/>
    </row>
    <row r="1000" ht="15.75" customHeight="1">
      <c r="A1000" s="63"/>
    </row>
  </sheetData>
  <mergeCells count="3">
    <mergeCell ref="B2:E4"/>
    <mergeCell ref="F2:H2"/>
    <mergeCell ref="B5:C9"/>
  </mergeCell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3">
      <c r="B3" s="97"/>
      <c r="C3" s="131"/>
      <c r="D3" s="99" t="s">
        <v>111</v>
      </c>
      <c r="E3" s="99" t="s">
        <v>112</v>
      </c>
      <c r="F3" s="99" t="s">
        <v>113</v>
      </c>
      <c r="G3" s="99" t="s">
        <v>114</v>
      </c>
    </row>
    <row r="4">
      <c r="B4" s="100" t="s">
        <v>63</v>
      </c>
      <c r="C4" s="132"/>
      <c r="D4" s="103">
        <v>1.0</v>
      </c>
      <c r="E4" s="103">
        <v>1.0</v>
      </c>
      <c r="F4" s="103">
        <v>1.0</v>
      </c>
      <c r="G4" s="103">
        <v>0.5</v>
      </c>
    </row>
    <row r="5">
      <c r="B5" s="100" t="s">
        <v>64</v>
      </c>
      <c r="C5" s="132"/>
      <c r="D5" s="103">
        <v>1.0</v>
      </c>
      <c r="E5" s="103">
        <v>1.0</v>
      </c>
      <c r="F5" s="103">
        <v>1.0</v>
      </c>
      <c r="G5" s="103">
        <v>1.0</v>
      </c>
    </row>
    <row r="6">
      <c r="B6" s="100" t="s">
        <v>65</v>
      </c>
      <c r="C6" s="132"/>
      <c r="D6" s="103">
        <v>1.0</v>
      </c>
      <c r="E6" s="103">
        <v>1.0</v>
      </c>
      <c r="F6" s="103">
        <v>1.0</v>
      </c>
      <c r="G6" s="103">
        <v>1.0</v>
      </c>
    </row>
    <row r="7">
      <c r="B7" s="100" t="s">
        <v>66</v>
      </c>
      <c r="C7" s="132"/>
      <c r="D7" s="103">
        <v>0.5</v>
      </c>
      <c r="E7" s="103">
        <v>1.0</v>
      </c>
      <c r="F7" s="103">
        <v>0.5</v>
      </c>
      <c r="G7" s="103">
        <v>0.5</v>
      </c>
    </row>
    <row r="8">
      <c r="B8" s="104" t="s">
        <v>67</v>
      </c>
      <c r="C8" s="133"/>
      <c r="D8" s="106">
        <f t="shared" ref="D8:G8" si="1">SUM(D4:D7)</f>
        <v>3.5</v>
      </c>
      <c r="E8" s="106">
        <f t="shared" si="1"/>
        <v>4</v>
      </c>
      <c r="F8" s="106">
        <f t="shared" si="1"/>
        <v>3.5</v>
      </c>
      <c r="G8" s="151">
        <f t="shared" si="1"/>
        <v>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C3"/>
    <mergeCell ref="B4:C4"/>
    <mergeCell ref="B5:C5"/>
    <mergeCell ref="B6:C6"/>
    <mergeCell ref="B7:C7"/>
    <mergeCell ref="B8:C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2025-03-10T15:16:59Z</dcterms:created>
  <dc:creator>Elisabetta Cattoni</dc:creator>
</cp:coreProperties>
</file>